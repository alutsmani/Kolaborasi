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PPSA\1445\App\"/>
    </mc:Choice>
  </mc:AlternateContent>
  <xr:revisionPtr revIDLastSave="0" documentId="13_ncr:1_{8D85D804-AF62-4B3D-B54E-348CFD2BFDBC}" xr6:coauthVersionLast="47" xr6:coauthVersionMax="47" xr10:uidLastSave="{00000000-0000-0000-0000-000000000000}"/>
  <bookViews>
    <workbookView xWindow="-120" yWindow="-120" windowWidth="29040" windowHeight="15990" xr2:uid="{CBB1B04A-7CE1-4BEA-9647-27EE4D320B72}"/>
  </bookViews>
  <sheets>
    <sheet name="Prin" sheetId="1" r:id="rId1"/>
  </sheets>
  <functionGroups builtInGroupCount="19"/>
  <definedNames>
    <definedName name="Alamat">Prin!$H$15</definedName>
    <definedName name="Alasan">Prin!$H$21</definedName>
    <definedName name="Ayah">Prin!$H$13</definedName>
    <definedName name="BG">Prin!$F$9:$L$9,Prin!$M$3:$M$40,Prin!$N$9:$T$9,Prin!$N$11:$T$32,Prin!$F$11:$L$32</definedName>
    <definedName name="Dari">Prin!$H$23</definedName>
    <definedName name="Diniyah">Prin!$H$19</definedName>
    <definedName name="Domisili">Prin!$H$18</definedName>
    <definedName name="Formal">Prin!$K$19</definedName>
    <definedName name="Header">Prin!$F$3:$L$8,Prin!$N$3:$T$8,Prin!$N$10,Prin!$F$10,Prin!$F$33:$L$40,Prin!$N$33:$T$40</definedName>
    <definedName name="IDS">Prin!$B$10</definedName>
    <definedName name="Kode">Prin!$X$33</definedName>
    <definedName name="Lama1">Prin!$H$26</definedName>
    <definedName name="Lama2">Prin!$H$27</definedName>
    <definedName name="LTTQ_LTK">Prin!$K$18</definedName>
    <definedName name="Nama">Prin!$H$12</definedName>
    <definedName name="NoAyah">Prin!$H$14</definedName>
    <definedName name="Perpanjang">Prin!$H$25</definedName>
    <definedName name="_xlnm.Print_Area" localSheetId="0">Prin!$F$3:$T$40</definedName>
    <definedName name="Sampai">Prin!$H$24</definedName>
    <definedName name="SuratIjin">Prin!$F$3:$T$40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1" i="1" l="1"/>
  <c r="O29" i="1"/>
  <c r="G29" i="1"/>
  <c r="S28" i="1"/>
  <c r="P27" i="1"/>
  <c r="O27" i="1"/>
  <c r="P26" i="1"/>
  <c r="O26" i="1"/>
  <c r="P25" i="1"/>
  <c r="O25" i="1"/>
  <c r="P24" i="1"/>
  <c r="P23" i="1"/>
  <c r="P21" i="1"/>
  <c r="S19" i="1"/>
  <c r="P19" i="1"/>
  <c r="S18" i="1"/>
  <c r="P18" i="1"/>
  <c r="P15" i="1"/>
  <c r="P14" i="1"/>
  <c r="P13" i="1"/>
  <c r="P12" i="1"/>
  <c r="N11" i="1"/>
</calcChain>
</file>

<file path=xl/sharedStrings.xml><?xml version="1.0" encoding="utf-8"?>
<sst xmlns="http://schemas.openxmlformats.org/spreadsheetml/2006/main" count="71" uniqueCount="49">
  <si>
    <t>Surat Ijin Pulang</t>
  </si>
  <si>
    <t>No: 1705/Y.AU/A.5.3/0.1445</t>
  </si>
  <si>
    <t>Nama</t>
  </si>
  <si>
    <t>Ayah</t>
  </si>
  <si>
    <t>No. Telp</t>
  </si>
  <si>
    <t>Alamat</t>
  </si>
  <si>
    <t>Domisili</t>
  </si>
  <si>
    <t xml:space="preserve">   LTTQ</t>
  </si>
  <si>
    <t>Wustha [.3]</t>
  </si>
  <si>
    <t>.</t>
  </si>
  <si>
    <t>Diniyah</t>
  </si>
  <si>
    <t xml:space="preserve">   Formal</t>
  </si>
  <si>
    <t>Smai [X.Ips]</t>
  </si>
  <si>
    <t>Alasan</t>
  </si>
  <si>
    <t>Sakit</t>
  </si>
  <si>
    <t>Dari</t>
  </si>
  <si>
    <t>Rabu, 19 Dzul Hijjah 1445 H. / 08 Juli 2023 M.</t>
  </si>
  <si>
    <t>26 juli 2024 M</t>
  </si>
  <si>
    <t>Sampai</t>
  </si>
  <si>
    <t>Juma'at, 21 Dzul Hijjah 1445 H. / 10 Juli 2023 M.</t>
  </si>
  <si>
    <t>21 Juli 2024 M</t>
  </si>
  <si>
    <t>Lama Ijin</t>
  </si>
  <si>
    <t>3 Hari</t>
  </si>
  <si>
    <t>Beddian, 19 Dzul Hijjah 1445</t>
  </si>
  <si>
    <t>TTD</t>
  </si>
  <si>
    <t>Ali Murtadho Hamid</t>
  </si>
  <si>
    <t>Keterangan</t>
  </si>
  <si>
    <t>1.</t>
  </si>
  <si>
    <t>Semua santri harus menjaga nama baik PPS. Al-Utsmani.</t>
  </si>
  <si>
    <t>2.</t>
  </si>
  <si>
    <t>Sesudah kembali ke PPS. Al-Utsmani, surat ini wajib diserahkan pada kepala daerah</t>
  </si>
  <si>
    <t>3.</t>
  </si>
  <si>
    <t>Terlambat dari ketentuan tanggal kembali, harus diantar oleh wali untuk mempertanggungjawabkan</t>
  </si>
  <si>
    <t xml:space="preserve">Terlambat dari ketentuan tanggal kembali, harus diantar oleh wali / wakil wali untuk </t>
  </si>
  <si>
    <t xml:space="preserve"> pada Kepala Daerah</t>
  </si>
  <si>
    <t>mempertanggungjawabkan pada Kepala Daerah</t>
  </si>
  <si>
    <t>4.</t>
  </si>
  <si>
    <t xml:space="preserve">Terlambat dari ketentuan ijin sampai 15 hari (terhitung dari tanggal kembali) tanpa ada pemberitahuan pada </t>
  </si>
  <si>
    <t>Terlambat dari ketentuan ijin sampai 15 hari (terhitung dari tanggal kembali) tanpa ada</t>
  </si>
  <si>
    <t>Kepala Daerah yang bersangkutan, dianggap berhenti atau boyong atau keluar dari pesantren</t>
  </si>
  <si>
    <t>pemberitahuan pada Kepala Daerah yang bersangkutan, dianggap berhenti</t>
  </si>
  <si>
    <t>atau boyong atau keluar dari pesantren</t>
  </si>
  <si>
    <t>AddIn</t>
  </si>
  <si>
    <t>1N6T-15vQ2rgLyY1DJnZ-oKBRbdJgA0JF</t>
  </si>
  <si>
    <t>Ula [5.B]</t>
  </si>
  <si>
    <t>Muhammad Hamdaniel Mobarok</t>
  </si>
  <si>
    <t>Abdul Halim Syarif</t>
  </si>
  <si>
    <t>Patemon Kidul Sawah 02/15 Sukosari, Sukowono, Jember</t>
  </si>
  <si>
    <t>D.09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</si>
</sst>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@\ * &quot;:&quot;"/>
  </numFmts>
  <fonts count="28">
    <font>
      <sz val="12"/>
      <color theme="1"/>
      <name val="Font Badan"/>
      <family val="2"/>
      <charset val="1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charset val="1"/>
      <scheme val="minor"/>
    </font>
    <font>
      <sz val="12"/>
      <color rgb="FF000000"/>
      <name val="Aptos Narrow"/>
      <family val="2"/>
      <charset val="1"/>
      <scheme val="minor"/>
    </font>
    <font>
      <b/>
      <sz val="12"/>
      <color rgb="FF000000"/>
      <name val="Aptos Narrow"/>
      <family val="2"/>
      <scheme val="minor"/>
    </font>
    <font>
      <b/>
      <sz val="9"/>
      <color theme="0" tint="-0.24997711111789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0"/>
      <name val="Arial Black"/>
      <family val="2"/>
    </font>
    <font>
      <b/>
      <sz val="12"/>
      <color rgb="FF00823B"/>
      <name val="Arial Black"/>
      <family val="2"/>
    </font>
    <font>
      <b/>
      <sz val="10"/>
      <color theme="0" tint="-0.249977111117893"/>
      <name val="Aptos Narrow"/>
      <family val="2"/>
      <scheme val="minor"/>
    </font>
    <font>
      <b/>
      <sz val="11"/>
      <color rgb="FFE2EFDA"/>
      <name val="Aptos Narrow"/>
      <family val="2"/>
      <scheme val="minor"/>
    </font>
    <font>
      <sz val="12"/>
      <color rgb="FFE2EFDA"/>
      <name val="Aptos Narrow"/>
      <family val="2"/>
      <charset val="1"/>
      <scheme val="minor"/>
    </font>
    <font>
      <b/>
      <sz val="12"/>
      <color rgb="FFE2EFDA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 tint="-4.9989318521683403E-2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2"/>
      <color theme="9" tint="-0.249977111117893"/>
      <name val="Aptos Narrow"/>
      <family val="2"/>
      <scheme val="minor"/>
    </font>
    <font>
      <b/>
      <sz val="12"/>
      <color theme="9" tint="-0.24997711111789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9" tint="0.59999389629810485"/>
      <name val="Aptos Narrow"/>
      <family val="2"/>
      <scheme val="minor"/>
    </font>
    <font>
      <sz val="12"/>
      <color theme="9" tint="0.59999389629810485"/>
      <name val="Aptos Narrow"/>
      <family val="2"/>
      <charset val="1"/>
      <scheme val="minor"/>
    </font>
    <font>
      <sz val="8"/>
      <color theme="0"/>
      <name val="Aptos Narrow"/>
      <family val="2"/>
      <charset val="1"/>
      <scheme val="minor"/>
    </font>
    <font>
      <sz val="12"/>
      <color theme="0"/>
      <name val="Font Badan"/>
      <family val="2"/>
      <charset val="1"/>
    </font>
    <font>
      <sz val="12"/>
      <color rgb="FFFF0000"/>
      <name val="Font Badan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ck">
        <color rgb="FFFFC000"/>
      </right>
      <top/>
      <bottom/>
      <diagonal/>
    </border>
    <border>
      <left/>
      <right/>
      <top style="thick">
        <color rgb="FFFFC000"/>
      </top>
      <bottom/>
      <diagonal/>
    </border>
    <border>
      <left style="thick">
        <color rgb="FFFFC000"/>
      </left>
      <right style="thick">
        <color rgb="FFFFC000"/>
      </right>
      <top/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/>
      <bottom/>
      <diagonal/>
    </border>
    <border>
      <left style="thin">
        <color rgb="FF00823B"/>
      </left>
      <right/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thick">
        <color rgb="FFFFC000"/>
      </bottom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0" xfId="0" applyFill="1"/>
    <xf numFmtId="14" fontId="0" fillId="2" borderId="0" xfId="0" applyNumberFormat="1" applyFill="1"/>
    <xf numFmtId="1" fontId="3" fillId="3" borderId="3" xfId="0" applyNumberFormat="1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4" borderId="0" xfId="0" applyFill="1"/>
    <xf numFmtId="0" fontId="0" fillId="3" borderId="3" xfId="0" applyFill="1" applyBorder="1"/>
    <xf numFmtId="0" fontId="4" fillId="2" borderId="6" xfId="0" applyFont="1" applyFill="1" applyBorder="1"/>
    <xf numFmtId="0" fontId="5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2" borderId="6" xfId="0" applyFill="1" applyBorder="1"/>
    <xf numFmtId="0" fontId="6" fillId="2" borderId="0" xfId="0" applyFont="1" applyFill="1"/>
    <xf numFmtId="1" fontId="0" fillId="3" borderId="6" xfId="0" applyNumberFormat="1" applyFill="1" applyBorder="1"/>
    <xf numFmtId="0" fontId="7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3" borderId="3" xfId="0" applyFont="1" applyFill="1" applyBorder="1"/>
    <xf numFmtId="0" fontId="2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3" borderId="3" xfId="0" applyFill="1" applyBorder="1" applyAlignment="1">
      <alignment vertical="top"/>
    </xf>
    <xf numFmtId="0" fontId="12" fillId="2" borderId="6" xfId="0" applyFont="1" applyFill="1" applyBorder="1"/>
    <xf numFmtId="0" fontId="13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" fontId="14" fillId="3" borderId="6" xfId="0" applyNumberFormat="1" applyFont="1" applyFill="1" applyBorder="1"/>
    <xf numFmtId="164" fontId="11" fillId="3" borderId="1" xfId="0" applyNumberFormat="1" applyFont="1" applyFill="1" applyBorder="1"/>
    <xf numFmtId="0" fontId="12" fillId="2" borderId="0" xfId="0" applyFont="1" applyFill="1"/>
    <xf numFmtId="0" fontId="15" fillId="2" borderId="0" xfId="0" applyFont="1" applyFill="1"/>
    <xf numFmtId="164" fontId="7" fillId="3" borderId="7" xfId="0" applyNumberFormat="1" applyFont="1" applyFill="1" applyBorder="1"/>
    <xf numFmtId="164" fontId="16" fillId="3" borderId="1" xfId="0" applyNumberFormat="1" applyFont="1" applyFill="1" applyBorder="1"/>
    <xf numFmtId="0" fontId="4" fillId="2" borderId="0" xfId="0" applyFont="1" applyFill="1"/>
    <xf numFmtId="0" fontId="17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/>
    </xf>
    <xf numFmtId="49" fontId="19" fillId="2" borderId="0" xfId="0" applyNumberFormat="1" applyFont="1" applyFill="1"/>
    <xf numFmtId="0" fontId="18" fillId="2" borderId="0" xfId="0" applyFont="1" applyFill="1"/>
    <xf numFmtId="0" fontId="23" fillId="2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left" vertical="center"/>
    </xf>
    <xf numFmtId="0" fontId="25" fillId="3" borderId="3" xfId="0" applyFont="1" applyFill="1" applyBorder="1"/>
    <xf numFmtId="0" fontId="0" fillId="2" borderId="1" xfId="0" applyFill="1" applyBorder="1"/>
    <xf numFmtId="0" fontId="18" fillId="2" borderId="1" xfId="0" applyFont="1" applyFill="1" applyBorder="1"/>
    <xf numFmtId="0" fontId="0" fillId="5" borderId="0" xfId="0" applyFill="1"/>
    <xf numFmtId="0" fontId="1" fillId="5" borderId="0" xfId="0" applyFont="1" applyFill="1" applyAlignment="1">
      <alignment vertical="center"/>
    </xf>
    <xf numFmtId="0" fontId="2" fillId="5" borderId="0" xfId="0" applyFont="1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1" fontId="0" fillId="3" borderId="0" xfId="0" applyNumberFormat="1" applyFill="1"/>
    <xf numFmtId="0" fontId="0" fillId="3" borderId="1" xfId="0" applyFill="1" applyBorder="1"/>
    <xf numFmtId="164" fontId="7" fillId="3" borderId="0" xfId="0" applyNumberFormat="1" applyFont="1" applyFill="1"/>
    <xf numFmtId="0" fontId="14" fillId="3" borderId="0" xfId="0" applyFont="1" applyFill="1" applyAlignment="1">
      <alignment horizontal="left" vertical="center"/>
    </xf>
    <xf numFmtId="164" fontId="7" fillId="3" borderId="1" xfId="0" applyNumberFormat="1" applyFont="1" applyFill="1" applyBorder="1"/>
    <xf numFmtId="0" fontId="14" fillId="3" borderId="0" xfId="0" applyFont="1" applyFill="1"/>
    <xf numFmtId="0" fontId="14" fillId="3" borderId="1" xfId="0" applyFont="1" applyFill="1" applyBorder="1"/>
    <xf numFmtId="0" fontId="14" fillId="3" borderId="0" xfId="0" applyFont="1" applyFill="1" applyAlignment="1">
      <alignment horizontal="center" vertical="center"/>
    </xf>
    <xf numFmtId="1" fontId="14" fillId="3" borderId="0" xfId="0" applyNumberFormat="1" applyFont="1" applyFill="1"/>
    <xf numFmtId="0" fontId="14" fillId="3" borderId="0" xfId="0" applyFont="1" applyFill="1" applyAlignment="1">
      <alignment vertical="center"/>
    </xf>
    <xf numFmtId="0" fontId="20" fillId="3" borderId="0" xfId="0" applyFont="1" applyFill="1" applyAlignment="1">
      <alignment horizontal="left" vertical="center"/>
    </xf>
    <xf numFmtId="0" fontId="7" fillId="3" borderId="0" xfId="0" applyFont="1" applyFill="1"/>
    <xf numFmtId="0" fontId="20" fillId="3" borderId="0" xfId="0" quotePrefix="1" applyFont="1" applyFill="1" applyAlignment="1">
      <alignment horizontal="left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1" fontId="0" fillId="6" borderId="6" xfId="0" applyNumberFormat="1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1" fontId="0" fillId="6" borderId="0" xfId="0" applyNumberFormat="1" applyFill="1"/>
    <xf numFmtId="0" fontId="0" fillId="6" borderId="1" xfId="0" applyFill="1" applyBorder="1"/>
    <xf numFmtId="0" fontId="0" fillId="6" borderId="6" xfId="0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22" fillId="6" borderId="0" xfId="0" applyFont="1" applyFill="1"/>
    <xf numFmtId="0" fontId="22" fillId="6" borderId="0" xfId="0" applyFont="1" applyFill="1" applyAlignment="1">
      <alignment horizontal="center" vertical="center"/>
    </xf>
    <xf numFmtId="1" fontId="22" fillId="6" borderId="0" xfId="0" applyNumberFormat="1" applyFont="1" applyFill="1"/>
    <xf numFmtId="0" fontId="22" fillId="6" borderId="1" xfId="0" applyFont="1" applyFill="1" applyBorder="1"/>
    <xf numFmtId="1" fontId="25" fillId="6" borderId="6" xfId="0" quotePrefix="1" applyNumberFormat="1" applyFont="1" applyFill="1" applyBorder="1" applyAlignment="1">
      <alignment horizontal="right"/>
    </xf>
    <xf numFmtId="0" fontId="25" fillId="6" borderId="0" xfId="0" applyFont="1" applyFill="1"/>
    <xf numFmtId="0" fontId="25" fillId="6" borderId="0" xfId="0" applyFont="1" applyFill="1" applyAlignment="1">
      <alignment horizontal="center" vertical="center"/>
    </xf>
    <xf numFmtId="1" fontId="25" fillId="6" borderId="0" xfId="0" quotePrefix="1" applyNumberFormat="1" applyFont="1" applyFill="1" applyAlignment="1">
      <alignment horizontal="right"/>
    </xf>
    <xf numFmtId="0" fontId="25" fillId="6" borderId="1" xfId="0" applyFont="1" applyFill="1" applyBorder="1"/>
    <xf numFmtId="1" fontId="25" fillId="6" borderId="6" xfId="0" applyNumberFormat="1" applyFont="1" applyFill="1" applyBorder="1" applyAlignment="1">
      <alignment horizontal="right"/>
    </xf>
    <xf numFmtId="1" fontId="25" fillId="6" borderId="0" xfId="0" applyNumberFormat="1" applyFont="1" applyFill="1" applyAlignment="1">
      <alignment horizontal="right"/>
    </xf>
    <xf numFmtId="1" fontId="25" fillId="6" borderId="14" xfId="0" applyNumberFormat="1" applyFont="1" applyFill="1" applyBorder="1" applyAlignment="1">
      <alignment horizontal="left" vertical="center"/>
    </xf>
    <xf numFmtId="0" fontId="25" fillId="6" borderId="13" xfId="0" applyFont="1" applyFill="1" applyBorder="1"/>
    <xf numFmtId="0" fontId="25" fillId="6" borderId="13" xfId="0" applyFont="1" applyFill="1" applyBorder="1" applyAlignment="1">
      <alignment horizontal="center" vertical="center"/>
    </xf>
    <xf numFmtId="1" fontId="25" fillId="6" borderId="13" xfId="0" applyNumberFormat="1" applyFont="1" applyFill="1" applyBorder="1"/>
    <xf numFmtId="0" fontId="25" fillId="6" borderId="15" xfId="0" applyFont="1" applyFill="1" applyBorder="1"/>
    <xf numFmtId="1" fontId="25" fillId="6" borderId="14" xfId="0" applyNumberFormat="1" applyFont="1" applyFill="1" applyBorder="1"/>
    <xf numFmtId="0" fontId="0" fillId="7" borderId="0" xfId="0" applyFill="1"/>
    <xf numFmtId="0" fontId="0" fillId="7" borderId="16" xfId="0" applyFill="1" applyBorder="1"/>
    <xf numFmtId="0" fontId="27" fillId="7" borderId="0" xfId="0" applyFont="1" applyFill="1"/>
    <xf numFmtId="0" fontId="8" fillId="6" borderId="6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top"/>
    </xf>
    <xf numFmtId="0" fontId="7" fillId="3" borderId="0" xfId="0" applyFont="1" applyFill="1" applyAlignment="1">
      <alignment horizontal="center" vertical="top"/>
    </xf>
    <xf numFmtId="0" fontId="7" fillId="3" borderId="1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center" vertical="top"/>
    </xf>
    <xf numFmtId="0" fontId="14" fillId="3" borderId="0" xfId="0" applyFont="1" applyFill="1" applyAlignment="1">
      <alignment horizontal="left" vertical="center"/>
    </xf>
    <xf numFmtId="0" fontId="14" fillId="3" borderId="1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top" wrapText="1"/>
    </xf>
    <xf numFmtId="0" fontId="14" fillId="3" borderId="1" xfId="0" applyFont="1" applyFill="1" applyBorder="1" applyAlignment="1">
      <alignment horizontal="left" vertical="top" wrapText="1"/>
    </xf>
    <xf numFmtId="0" fontId="26" fillId="7" borderId="0" xfId="0" applyFont="1" applyFill="1" applyAlignment="1">
      <alignment horizontal="center"/>
    </xf>
    <xf numFmtId="0" fontId="21" fillId="3" borderId="8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1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160109</xdr:colOff>
      <xdr:row>23</xdr:row>
      <xdr:rowOff>0</xdr:rowOff>
    </xdr:from>
    <xdr:to>
      <xdr:col>5</xdr:col>
      <xdr:colOff>0</xdr:colOff>
      <xdr:row>23</xdr:row>
      <xdr:rowOff>144517</xdr:rowOff>
    </xdr:to>
    <xdr:sp macro="[0]!EditGrup" textlink="">
      <xdr:nvSpPr>
        <xdr:cNvPr id="4" name="Edit">
          <a:extLst>
            <a:ext uri="{FF2B5EF4-FFF2-40B4-BE49-F238E27FC236}">
              <a16:creationId xmlns:a16="http://schemas.microsoft.com/office/drawing/2014/main" id="{21C21719-4341-45CD-90EA-981F009D50C4}"/>
            </a:ext>
          </a:extLst>
        </xdr:cNvPr>
        <xdr:cNvSpPr/>
      </xdr:nvSpPr>
      <xdr:spPr>
        <a:xfrm>
          <a:off x="2027009" y="4600575"/>
          <a:ext cx="258991" cy="14451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d-ID" sz="700"/>
            <a:t>Edit</a:t>
          </a:r>
        </a:p>
      </xdr:txBody>
    </xdr:sp>
    <xdr:clientData fPrintsWithSheet="0"/>
  </xdr:twoCellAnchor>
  <xdr:twoCellAnchor>
    <xdr:from>
      <xdr:col>0</xdr:col>
      <xdr:colOff>117230</xdr:colOff>
      <xdr:row>28</xdr:row>
      <xdr:rowOff>191477</xdr:rowOff>
    </xdr:from>
    <xdr:to>
      <xdr:col>3</xdr:col>
      <xdr:colOff>106356</xdr:colOff>
      <xdr:row>39</xdr:row>
      <xdr:rowOff>114051</xdr:rowOff>
    </xdr:to>
    <xdr:grpSp>
      <xdr:nvGrpSpPr>
        <xdr:cNvPr id="17" name="GrupKalender">
          <a:extLst>
            <a:ext uri="{FF2B5EF4-FFF2-40B4-BE49-F238E27FC236}">
              <a16:creationId xmlns:a16="http://schemas.microsoft.com/office/drawing/2014/main" id="{7321A5CF-D9E3-455E-BF2B-D81BE4205864}"/>
            </a:ext>
          </a:extLst>
        </xdr:cNvPr>
        <xdr:cNvGrpSpPr/>
      </xdr:nvGrpSpPr>
      <xdr:grpSpPr>
        <a:xfrm>
          <a:off x="117230" y="5858852"/>
          <a:ext cx="1856026" cy="2122849"/>
          <a:chOff x="2708413" y="2940273"/>
          <a:chExt cx="1864945" cy="2109182"/>
        </a:xfrm>
      </xdr:grpSpPr>
      <xdr:sp macro="" textlink="">
        <xdr:nvSpPr>
          <xdr:cNvPr id="18" name="Hari">
            <a:extLst>
              <a:ext uri="{FF2B5EF4-FFF2-40B4-BE49-F238E27FC236}">
                <a16:creationId xmlns:a16="http://schemas.microsoft.com/office/drawing/2014/main" id="{8F17CBD7-15A9-83C1-65F1-2B27E206C00A}"/>
              </a:ext>
            </a:extLst>
          </xdr:cNvPr>
          <xdr:cNvSpPr/>
        </xdr:nvSpPr>
        <xdr:spPr>
          <a:xfrm>
            <a:off x="2716129" y="2940273"/>
            <a:ext cx="1840802" cy="906996"/>
          </a:xfrm>
          <a:prstGeom prst="roundRect">
            <a:avLst>
              <a:gd name="adj" fmla="val 9588"/>
            </a:avLst>
          </a:prstGeom>
          <a:solidFill>
            <a:schemeClr val="tx1">
              <a:lumMod val="95000"/>
              <a:lumOff val="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lIns="36000" tIns="0" rIns="36000" bIns="0" rtlCol="0" anchor="t"/>
          <a:lstStyle/>
          <a:p>
            <a:pPr algn="l"/>
            <a:endParaRPr lang="id-ID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19" name="TanggalMasehi">
            <a:extLst>
              <a:ext uri="{FF2B5EF4-FFF2-40B4-BE49-F238E27FC236}">
                <a16:creationId xmlns:a16="http://schemas.microsoft.com/office/drawing/2014/main" id="{6CC295BE-8DCF-482C-E9B2-1E2FB2547BA4}"/>
              </a:ext>
            </a:extLst>
          </xdr:cNvPr>
          <xdr:cNvSpPr/>
        </xdr:nvSpPr>
        <xdr:spPr>
          <a:xfrm>
            <a:off x="2724470" y="3228597"/>
            <a:ext cx="1840802" cy="51361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lIns="36000" tIns="0" rIns="36000" bIns="0" rtlCol="0" anchor="t"/>
          <a:lstStyle/>
          <a:p>
            <a:pPr algn="l"/>
            <a:r>
              <a:rPr lang="id-ID" sz="1200" b="1">
                <a:solidFill>
                  <a:schemeClr val="bg1"/>
                </a:solidFill>
              </a:rPr>
              <a:t>30 Desember 1899</a:t>
            </a:r>
          </a:p>
        </xdr:txBody>
      </xdr:sp>
      <xdr:sp macro="[0]!PutihkanTanggal" textlink="">
        <xdr:nvSpPr>
          <xdr:cNvPr id="20" name="Persegi Panjang: Sudut Lengkung 13">
            <a:extLst>
              <a:ext uri="{FF2B5EF4-FFF2-40B4-BE49-F238E27FC236}">
                <a16:creationId xmlns:a16="http://schemas.microsoft.com/office/drawing/2014/main" id="{81FC7896-3404-A6B3-C060-171F5B1D3AC5}"/>
              </a:ext>
            </a:extLst>
          </xdr:cNvPr>
          <xdr:cNvSpPr/>
        </xdr:nvSpPr>
        <xdr:spPr>
          <a:xfrm>
            <a:off x="2708413" y="3559827"/>
            <a:ext cx="1864945" cy="1400303"/>
          </a:xfrm>
          <a:prstGeom prst="roundRect">
            <a:avLst>
              <a:gd name="adj" fmla="val 6733"/>
            </a:avLst>
          </a:prstGeom>
          <a:gradFill flip="none" rotWithShape="1">
            <a:gsLst>
              <a:gs pos="0">
                <a:schemeClr val="accent1">
                  <a:lumMod val="75000"/>
                  <a:shade val="30000"/>
                  <a:satMod val="115000"/>
                </a:schemeClr>
              </a:gs>
              <a:gs pos="50000">
                <a:schemeClr val="accent1">
                  <a:lumMod val="75000"/>
                  <a:shade val="67500"/>
                  <a:satMod val="115000"/>
                </a:schemeClr>
              </a:gs>
              <a:gs pos="100000">
                <a:schemeClr val="accent1">
                  <a:lumMod val="75000"/>
                  <a:shade val="100000"/>
                  <a:satMod val="115000"/>
                </a:schemeClr>
              </a:gs>
            </a:gsLst>
            <a:lin ang="16200000" scaled="1"/>
            <a:tileRect/>
          </a:gra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[0]!MunculkanBulan" textlink="">
        <xdr:nvSpPr>
          <xdr:cNvPr id="21" name="PBulan">
            <a:extLst>
              <a:ext uri="{FF2B5EF4-FFF2-40B4-BE49-F238E27FC236}">
                <a16:creationId xmlns:a16="http://schemas.microsoft.com/office/drawing/2014/main" id="{21017F64-F591-67A8-3E56-CCBFEE6315FA}"/>
              </a:ext>
            </a:extLst>
          </xdr:cNvPr>
          <xdr:cNvSpPr/>
        </xdr:nvSpPr>
        <xdr:spPr>
          <a:xfrm>
            <a:off x="2785159" y="3471379"/>
            <a:ext cx="1122043" cy="20744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36000" tIns="0" rIns="36000" bIns="0" rtlCol="0" anchor="ctr"/>
          <a:lstStyle/>
          <a:p>
            <a:pPr algn="ctr"/>
            <a:endParaRPr lang="id-ID" sz="1100" b="1"/>
          </a:p>
        </xdr:txBody>
      </xdr:sp>
      <xdr:sp macro="" textlink="">
        <xdr:nvSpPr>
          <xdr:cNvPr id="22" name="PTahun">
            <a:extLst>
              <a:ext uri="{FF2B5EF4-FFF2-40B4-BE49-F238E27FC236}">
                <a16:creationId xmlns:a16="http://schemas.microsoft.com/office/drawing/2014/main" id="{3A5EE369-9E48-1496-F575-9F1F208D68D3}"/>
              </a:ext>
            </a:extLst>
          </xdr:cNvPr>
          <xdr:cNvSpPr/>
        </xdr:nvSpPr>
        <xdr:spPr>
          <a:xfrm>
            <a:off x="3970859" y="3471379"/>
            <a:ext cx="527741" cy="207442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16200000" scaled="1"/>
            <a:tileRect/>
          </a:gra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100" b="1"/>
              <a:t>1445</a:t>
            </a:r>
            <a:endParaRPr lang="id-ID" sz="1100" b="1"/>
          </a:p>
        </xdr:txBody>
      </xdr:sp>
      <xdr:grpSp>
        <xdr:nvGrpSpPr>
          <xdr:cNvPr id="23" name="GrupTanggal">
            <a:extLst>
              <a:ext uri="{FF2B5EF4-FFF2-40B4-BE49-F238E27FC236}">
                <a16:creationId xmlns:a16="http://schemas.microsoft.com/office/drawing/2014/main" id="{D2B70D95-4969-4A28-C65B-9AFC6E15E0FD}"/>
              </a:ext>
            </a:extLst>
          </xdr:cNvPr>
          <xdr:cNvGrpSpPr/>
        </xdr:nvGrpSpPr>
        <xdr:grpSpPr>
          <a:xfrm>
            <a:off x="2802002" y="3866824"/>
            <a:ext cx="1658222" cy="905296"/>
            <a:chOff x="2958610" y="4309680"/>
            <a:chExt cx="1663138" cy="891220"/>
          </a:xfrm>
          <a:gradFill flip="none" rotWithShape="1">
            <a:gsLst>
              <a:gs pos="0">
                <a:schemeClr val="bg1">
                  <a:lumMod val="95000"/>
                  <a:shade val="30000"/>
                  <a:satMod val="115000"/>
                </a:schemeClr>
              </a:gs>
              <a:gs pos="50000">
                <a:schemeClr val="bg1">
                  <a:lumMod val="95000"/>
                  <a:shade val="67500"/>
                  <a:satMod val="115000"/>
                </a:schemeClr>
              </a:gs>
              <a:gs pos="100000">
                <a:schemeClr val="bg1">
                  <a:lumMod val="95000"/>
                  <a:shade val="100000"/>
                  <a:satMod val="115000"/>
                </a:schemeClr>
              </a:gs>
            </a:gsLst>
            <a:lin ang="16200000" scaled="1"/>
            <a:tileRect/>
          </a:gradFill>
        </xdr:grpSpPr>
        <xdr:sp macro="[0]!Pilih1" textlink="">
          <xdr:nvSpPr>
            <xdr:cNvPr id="26" name="T1">
              <a:extLst>
                <a:ext uri="{FF2B5EF4-FFF2-40B4-BE49-F238E27FC236}">
                  <a16:creationId xmlns:a16="http://schemas.microsoft.com/office/drawing/2014/main" id="{328EC1D2-79A7-37C2-A3C4-9BE4F0933B8E}"/>
                </a:ext>
              </a:extLst>
            </xdr:cNvPr>
            <xdr:cNvSpPr/>
          </xdr:nvSpPr>
          <xdr:spPr>
            <a:xfrm>
              <a:off x="2958610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id-ID" sz="1000" b="1">
                  <a:solidFill>
                    <a:schemeClr val="tx1"/>
                  </a:solidFill>
                </a:rPr>
                <a:t>1</a:t>
              </a:r>
            </a:p>
          </xdr:txBody>
        </xdr:sp>
        <xdr:sp macro="[0]!Pilih2" textlink="">
          <xdr:nvSpPr>
            <xdr:cNvPr id="27" name="T2">
              <a:extLst>
                <a:ext uri="{FF2B5EF4-FFF2-40B4-BE49-F238E27FC236}">
                  <a16:creationId xmlns:a16="http://schemas.microsoft.com/office/drawing/2014/main" id="{88F81BC2-087C-7B73-DF58-CAC2AF26760F}"/>
                </a:ext>
              </a:extLst>
            </xdr:cNvPr>
            <xdr:cNvSpPr/>
          </xdr:nvSpPr>
          <xdr:spPr>
            <a:xfrm>
              <a:off x="3204095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" textlink="">
          <xdr:nvSpPr>
            <xdr:cNvPr id="28" name="T3">
              <a:extLst>
                <a:ext uri="{FF2B5EF4-FFF2-40B4-BE49-F238E27FC236}">
                  <a16:creationId xmlns:a16="http://schemas.microsoft.com/office/drawing/2014/main" id="{10554CCA-2122-7AB2-A70A-5CEBD86DDE97}"/>
                </a:ext>
              </a:extLst>
            </xdr:cNvPr>
            <xdr:cNvSpPr/>
          </xdr:nvSpPr>
          <xdr:spPr>
            <a:xfrm>
              <a:off x="3453611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3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4" textlink="">
          <xdr:nvSpPr>
            <xdr:cNvPr id="29" name="T4">
              <a:extLst>
                <a:ext uri="{FF2B5EF4-FFF2-40B4-BE49-F238E27FC236}">
                  <a16:creationId xmlns:a16="http://schemas.microsoft.com/office/drawing/2014/main" id="{9DD0C47C-A019-84E6-D424-E4F95B15FDDF}"/>
                </a:ext>
              </a:extLst>
            </xdr:cNvPr>
            <xdr:cNvSpPr/>
          </xdr:nvSpPr>
          <xdr:spPr>
            <a:xfrm>
              <a:off x="3699096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4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5" textlink="">
          <xdr:nvSpPr>
            <xdr:cNvPr id="30" name="T5">
              <a:extLst>
                <a:ext uri="{FF2B5EF4-FFF2-40B4-BE49-F238E27FC236}">
                  <a16:creationId xmlns:a16="http://schemas.microsoft.com/office/drawing/2014/main" id="{C2083923-2451-3651-ADAD-B7A2276E6404}"/>
                </a:ext>
              </a:extLst>
            </xdr:cNvPr>
            <xdr:cNvSpPr/>
          </xdr:nvSpPr>
          <xdr:spPr>
            <a:xfrm>
              <a:off x="3944581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5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6" textlink="">
          <xdr:nvSpPr>
            <xdr:cNvPr id="31" name="T6">
              <a:extLst>
                <a:ext uri="{FF2B5EF4-FFF2-40B4-BE49-F238E27FC236}">
                  <a16:creationId xmlns:a16="http://schemas.microsoft.com/office/drawing/2014/main" id="{DA0E4369-43A5-9368-CF5B-F65897263816}"/>
                </a:ext>
              </a:extLst>
            </xdr:cNvPr>
            <xdr:cNvSpPr/>
          </xdr:nvSpPr>
          <xdr:spPr>
            <a:xfrm>
              <a:off x="4194097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6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7" textlink="">
          <xdr:nvSpPr>
            <xdr:cNvPr id="32" name="T7">
              <a:extLst>
                <a:ext uri="{FF2B5EF4-FFF2-40B4-BE49-F238E27FC236}">
                  <a16:creationId xmlns:a16="http://schemas.microsoft.com/office/drawing/2014/main" id="{2D2AE388-A497-DB40-2400-0972375D6361}"/>
                </a:ext>
              </a:extLst>
            </xdr:cNvPr>
            <xdr:cNvSpPr/>
          </xdr:nvSpPr>
          <xdr:spPr>
            <a:xfrm>
              <a:off x="4441748" y="430968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7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8" textlink="">
          <xdr:nvSpPr>
            <xdr:cNvPr id="33" name="T8">
              <a:extLst>
                <a:ext uri="{FF2B5EF4-FFF2-40B4-BE49-F238E27FC236}">
                  <a16:creationId xmlns:a16="http://schemas.microsoft.com/office/drawing/2014/main" id="{99C67BFF-5AA0-0995-44BF-EF355B545A9D}"/>
                </a:ext>
              </a:extLst>
            </xdr:cNvPr>
            <xdr:cNvSpPr/>
          </xdr:nvSpPr>
          <xdr:spPr>
            <a:xfrm>
              <a:off x="2958610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8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9" textlink="">
          <xdr:nvSpPr>
            <xdr:cNvPr id="34" name="T9">
              <a:extLst>
                <a:ext uri="{FF2B5EF4-FFF2-40B4-BE49-F238E27FC236}">
                  <a16:creationId xmlns:a16="http://schemas.microsoft.com/office/drawing/2014/main" id="{8CE5C3A5-555B-DFAA-7A0C-E777D2DDB9FA}"/>
                </a:ext>
              </a:extLst>
            </xdr:cNvPr>
            <xdr:cNvSpPr/>
          </xdr:nvSpPr>
          <xdr:spPr>
            <a:xfrm>
              <a:off x="3204095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9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0" textlink="">
          <xdr:nvSpPr>
            <xdr:cNvPr id="35" name="T10">
              <a:extLst>
                <a:ext uri="{FF2B5EF4-FFF2-40B4-BE49-F238E27FC236}">
                  <a16:creationId xmlns:a16="http://schemas.microsoft.com/office/drawing/2014/main" id="{CF5D2857-91A0-BA20-23A5-3D4C7D708676}"/>
                </a:ext>
              </a:extLst>
            </xdr:cNvPr>
            <xdr:cNvSpPr/>
          </xdr:nvSpPr>
          <xdr:spPr>
            <a:xfrm>
              <a:off x="3453611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10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1" textlink="">
          <xdr:nvSpPr>
            <xdr:cNvPr id="36" name="T11">
              <a:extLst>
                <a:ext uri="{FF2B5EF4-FFF2-40B4-BE49-F238E27FC236}">
                  <a16:creationId xmlns:a16="http://schemas.microsoft.com/office/drawing/2014/main" id="{37A92720-47D9-10B1-CA73-987EE448F241}"/>
                </a:ext>
              </a:extLst>
            </xdr:cNvPr>
            <xdr:cNvSpPr/>
          </xdr:nvSpPr>
          <xdr:spPr>
            <a:xfrm>
              <a:off x="3699096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11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2" textlink="">
          <xdr:nvSpPr>
            <xdr:cNvPr id="37" name="T12">
              <a:extLst>
                <a:ext uri="{FF2B5EF4-FFF2-40B4-BE49-F238E27FC236}">
                  <a16:creationId xmlns:a16="http://schemas.microsoft.com/office/drawing/2014/main" id="{C9894F59-B2AA-E4BC-5E1C-D9D662278A6F}"/>
                </a:ext>
              </a:extLst>
            </xdr:cNvPr>
            <xdr:cNvSpPr/>
          </xdr:nvSpPr>
          <xdr:spPr>
            <a:xfrm>
              <a:off x="3944581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12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3" textlink="">
          <xdr:nvSpPr>
            <xdr:cNvPr id="38" name="T13">
              <a:extLst>
                <a:ext uri="{FF2B5EF4-FFF2-40B4-BE49-F238E27FC236}">
                  <a16:creationId xmlns:a16="http://schemas.microsoft.com/office/drawing/2014/main" id="{BDF7EAD3-0931-D445-90E5-9072681F22A4}"/>
                </a:ext>
              </a:extLst>
            </xdr:cNvPr>
            <xdr:cNvSpPr/>
          </xdr:nvSpPr>
          <xdr:spPr>
            <a:xfrm>
              <a:off x="4194097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13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4" textlink="">
          <xdr:nvSpPr>
            <xdr:cNvPr id="39" name="T14">
              <a:extLst>
                <a:ext uri="{FF2B5EF4-FFF2-40B4-BE49-F238E27FC236}">
                  <a16:creationId xmlns:a16="http://schemas.microsoft.com/office/drawing/2014/main" id="{18ABCD55-7454-9374-CD1C-10112607145B}"/>
                </a:ext>
              </a:extLst>
            </xdr:cNvPr>
            <xdr:cNvSpPr/>
          </xdr:nvSpPr>
          <xdr:spPr>
            <a:xfrm>
              <a:off x="4441748" y="4497007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14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5" textlink="">
          <xdr:nvSpPr>
            <xdr:cNvPr id="40" name="T15">
              <a:extLst>
                <a:ext uri="{FF2B5EF4-FFF2-40B4-BE49-F238E27FC236}">
                  <a16:creationId xmlns:a16="http://schemas.microsoft.com/office/drawing/2014/main" id="{97F59E89-FBCD-50A1-6C9D-F3D3EB13BC97}"/>
                </a:ext>
              </a:extLst>
            </xdr:cNvPr>
            <xdr:cNvSpPr/>
          </xdr:nvSpPr>
          <xdr:spPr>
            <a:xfrm>
              <a:off x="2958610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15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6" textlink="">
          <xdr:nvSpPr>
            <xdr:cNvPr id="41" name="T16">
              <a:extLst>
                <a:ext uri="{FF2B5EF4-FFF2-40B4-BE49-F238E27FC236}">
                  <a16:creationId xmlns:a16="http://schemas.microsoft.com/office/drawing/2014/main" id="{D2BAE4B3-EC7E-31A6-3136-76C5E747EECA}"/>
                </a:ext>
              </a:extLst>
            </xdr:cNvPr>
            <xdr:cNvSpPr/>
          </xdr:nvSpPr>
          <xdr:spPr>
            <a:xfrm>
              <a:off x="3204095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16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7" textlink="">
          <xdr:nvSpPr>
            <xdr:cNvPr id="42" name="T17">
              <a:extLst>
                <a:ext uri="{FF2B5EF4-FFF2-40B4-BE49-F238E27FC236}">
                  <a16:creationId xmlns:a16="http://schemas.microsoft.com/office/drawing/2014/main" id="{1C436A14-E92C-5C92-A5ED-3595F42FCA9E}"/>
                </a:ext>
              </a:extLst>
            </xdr:cNvPr>
            <xdr:cNvSpPr/>
          </xdr:nvSpPr>
          <xdr:spPr>
            <a:xfrm>
              <a:off x="3453611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17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8" textlink="">
          <xdr:nvSpPr>
            <xdr:cNvPr id="43" name="T18">
              <a:extLst>
                <a:ext uri="{FF2B5EF4-FFF2-40B4-BE49-F238E27FC236}">
                  <a16:creationId xmlns:a16="http://schemas.microsoft.com/office/drawing/2014/main" id="{172E82EB-38CC-3114-88DC-1367F8ECBF63}"/>
                </a:ext>
              </a:extLst>
            </xdr:cNvPr>
            <xdr:cNvSpPr/>
          </xdr:nvSpPr>
          <xdr:spPr>
            <a:xfrm>
              <a:off x="3699096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18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19" textlink="">
          <xdr:nvSpPr>
            <xdr:cNvPr id="44" name="T19">
              <a:extLst>
                <a:ext uri="{FF2B5EF4-FFF2-40B4-BE49-F238E27FC236}">
                  <a16:creationId xmlns:a16="http://schemas.microsoft.com/office/drawing/2014/main" id="{1B59E067-709F-8168-6FD5-01915B0702EF}"/>
                </a:ext>
              </a:extLst>
            </xdr:cNvPr>
            <xdr:cNvSpPr/>
          </xdr:nvSpPr>
          <xdr:spPr>
            <a:xfrm>
              <a:off x="3944581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19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0" textlink="">
          <xdr:nvSpPr>
            <xdr:cNvPr id="45" name="T20">
              <a:extLst>
                <a:ext uri="{FF2B5EF4-FFF2-40B4-BE49-F238E27FC236}">
                  <a16:creationId xmlns:a16="http://schemas.microsoft.com/office/drawing/2014/main" id="{1FD23CD0-436E-A290-09E5-2211D3EFA00A}"/>
                </a:ext>
              </a:extLst>
            </xdr:cNvPr>
            <xdr:cNvSpPr/>
          </xdr:nvSpPr>
          <xdr:spPr>
            <a:xfrm>
              <a:off x="4194097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20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1" textlink="">
          <xdr:nvSpPr>
            <xdr:cNvPr id="46" name="T21">
              <a:extLst>
                <a:ext uri="{FF2B5EF4-FFF2-40B4-BE49-F238E27FC236}">
                  <a16:creationId xmlns:a16="http://schemas.microsoft.com/office/drawing/2014/main" id="{20068EB7-DE9E-3739-ED32-18EC283C16B3}"/>
                </a:ext>
              </a:extLst>
            </xdr:cNvPr>
            <xdr:cNvSpPr/>
          </xdr:nvSpPr>
          <xdr:spPr>
            <a:xfrm>
              <a:off x="4441748" y="4684334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21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2" textlink="">
          <xdr:nvSpPr>
            <xdr:cNvPr id="47" name="T22">
              <a:extLst>
                <a:ext uri="{FF2B5EF4-FFF2-40B4-BE49-F238E27FC236}">
                  <a16:creationId xmlns:a16="http://schemas.microsoft.com/office/drawing/2014/main" id="{68902BAD-F64F-B732-22D0-5B9C22047949}"/>
                </a:ext>
              </a:extLst>
            </xdr:cNvPr>
            <xdr:cNvSpPr/>
          </xdr:nvSpPr>
          <xdr:spPr>
            <a:xfrm>
              <a:off x="2958610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22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3" textlink="">
          <xdr:nvSpPr>
            <xdr:cNvPr id="48" name="T23">
              <a:extLst>
                <a:ext uri="{FF2B5EF4-FFF2-40B4-BE49-F238E27FC236}">
                  <a16:creationId xmlns:a16="http://schemas.microsoft.com/office/drawing/2014/main" id="{F066566D-9C25-134B-F075-34B8CD6EA64D}"/>
                </a:ext>
              </a:extLst>
            </xdr:cNvPr>
            <xdr:cNvSpPr/>
          </xdr:nvSpPr>
          <xdr:spPr>
            <a:xfrm>
              <a:off x="3204095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23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4" textlink="">
          <xdr:nvSpPr>
            <xdr:cNvPr id="49" name="T24">
              <a:extLst>
                <a:ext uri="{FF2B5EF4-FFF2-40B4-BE49-F238E27FC236}">
                  <a16:creationId xmlns:a16="http://schemas.microsoft.com/office/drawing/2014/main" id="{FF5743E2-14BD-FE2A-E0DA-BB924924A09F}"/>
                </a:ext>
              </a:extLst>
            </xdr:cNvPr>
            <xdr:cNvSpPr/>
          </xdr:nvSpPr>
          <xdr:spPr>
            <a:xfrm>
              <a:off x="3453611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24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5" textlink="">
          <xdr:nvSpPr>
            <xdr:cNvPr id="50" name="T25">
              <a:extLst>
                <a:ext uri="{FF2B5EF4-FFF2-40B4-BE49-F238E27FC236}">
                  <a16:creationId xmlns:a16="http://schemas.microsoft.com/office/drawing/2014/main" id="{C215D1D9-63D5-5A34-F8F6-EDE40F477046}"/>
                </a:ext>
              </a:extLst>
            </xdr:cNvPr>
            <xdr:cNvSpPr/>
          </xdr:nvSpPr>
          <xdr:spPr>
            <a:xfrm>
              <a:off x="3699096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25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6" textlink="">
          <xdr:nvSpPr>
            <xdr:cNvPr id="51" name="T26">
              <a:extLst>
                <a:ext uri="{FF2B5EF4-FFF2-40B4-BE49-F238E27FC236}">
                  <a16:creationId xmlns:a16="http://schemas.microsoft.com/office/drawing/2014/main" id="{333C1E2B-F0EE-0832-D430-4F918947A558}"/>
                </a:ext>
              </a:extLst>
            </xdr:cNvPr>
            <xdr:cNvSpPr/>
          </xdr:nvSpPr>
          <xdr:spPr>
            <a:xfrm>
              <a:off x="3944581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26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7" textlink="">
          <xdr:nvSpPr>
            <xdr:cNvPr id="52" name="T27">
              <a:extLst>
                <a:ext uri="{FF2B5EF4-FFF2-40B4-BE49-F238E27FC236}">
                  <a16:creationId xmlns:a16="http://schemas.microsoft.com/office/drawing/2014/main" id="{5AC30625-7301-C5C3-31BA-E0C8D8603AA1}"/>
                </a:ext>
              </a:extLst>
            </xdr:cNvPr>
            <xdr:cNvSpPr/>
          </xdr:nvSpPr>
          <xdr:spPr>
            <a:xfrm>
              <a:off x="4194097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27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8" textlink="">
          <xdr:nvSpPr>
            <xdr:cNvPr id="53" name="T28">
              <a:extLst>
                <a:ext uri="{FF2B5EF4-FFF2-40B4-BE49-F238E27FC236}">
                  <a16:creationId xmlns:a16="http://schemas.microsoft.com/office/drawing/2014/main" id="{71E27ECE-F754-7B8C-582A-477E733E4F75}"/>
                </a:ext>
              </a:extLst>
            </xdr:cNvPr>
            <xdr:cNvSpPr/>
          </xdr:nvSpPr>
          <xdr:spPr>
            <a:xfrm>
              <a:off x="4441748" y="4871661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28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29" textlink="">
          <xdr:nvSpPr>
            <xdr:cNvPr id="54" name="T29">
              <a:extLst>
                <a:ext uri="{FF2B5EF4-FFF2-40B4-BE49-F238E27FC236}">
                  <a16:creationId xmlns:a16="http://schemas.microsoft.com/office/drawing/2014/main" id="{79467757-2945-840B-CFE2-DE9CE748F4B2}"/>
                </a:ext>
              </a:extLst>
            </xdr:cNvPr>
            <xdr:cNvSpPr/>
          </xdr:nvSpPr>
          <xdr:spPr>
            <a:xfrm>
              <a:off x="2958610" y="505899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29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0" textlink="">
          <xdr:nvSpPr>
            <xdr:cNvPr id="55" name="T30">
              <a:extLst>
                <a:ext uri="{FF2B5EF4-FFF2-40B4-BE49-F238E27FC236}">
                  <a16:creationId xmlns:a16="http://schemas.microsoft.com/office/drawing/2014/main" id="{5ECE4C75-2174-9912-12CF-CE747F3C01A2}"/>
                </a:ext>
              </a:extLst>
            </xdr:cNvPr>
            <xdr:cNvSpPr/>
          </xdr:nvSpPr>
          <xdr:spPr>
            <a:xfrm>
              <a:off x="3204095" y="5058990"/>
              <a:ext cx="180000" cy="14191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000" b="1">
                  <a:solidFill>
                    <a:schemeClr val="tx1"/>
                  </a:solidFill>
                </a:rPr>
                <a:t>30</a:t>
              </a:r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1" textlink="">
          <xdr:nvSpPr>
            <xdr:cNvPr id="56" name="T31">
              <a:extLst>
                <a:ext uri="{FF2B5EF4-FFF2-40B4-BE49-F238E27FC236}">
                  <a16:creationId xmlns:a16="http://schemas.microsoft.com/office/drawing/2014/main" id="{BC2E7B39-6E6B-2226-5B77-7272B56D6230}"/>
                </a:ext>
              </a:extLst>
            </xdr:cNvPr>
            <xdr:cNvSpPr/>
          </xdr:nvSpPr>
          <xdr:spPr>
            <a:xfrm>
              <a:off x="3453611" y="5058990"/>
              <a:ext cx="180000" cy="141910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2" textlink="">
          <xdr:nvSpPr>
            <xdr:cNvPr id="57" name="T32">
              <a:extLst>
                <a:ext uri="{FF2B5EF4-FFF2-40B4-BE49-F238E27FC236}">
                  <a16:creationId xmlns:a16="http://schemas.microsoft.com/office/drawing/2014/main" id="{891FFCCD-A540-D5AF-FB86-86AF1A3E5F11}"/>
                </a:ext>
              </a:extLst>
            </xdr:cNvPr>
            <xdr:cNvSpPr/>
          </xdr:nvSpPr>
          <xdr:spPr>
            <a:xfrm>
              <a:off x="3699096" y="5058990"/>
              <a:ext cx="180000" cy="141910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3" textlink="">
          <xdr:nvSpPr>
            <xdr:cNvPr id="58" name="T33">
              <a:extLst>
                <a:ext uri="{FF2B5EF4-FFF2-40B4-BE49-F238E27FC236}">
                  <a16:creationId xmlns:a16="http://schemas.microsoft.com/office/drawing/2014/main" id="{DE8C75AF-1D2D-36E8-6273-0C38A224C7DD}"/>
                </a:ext>
              </a:extLst>
            </xdr:cNvPr>
            <xdr:cNvSpPr/>
          </xdr:nvSpPr>
          <xdr:spPr>
            <a:xfrm>
              <a:off x="3944581" y="5058990"/>
              <a:ext cx="180000" cy="141910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4" textlink="">
          <xdr:nvSpPr>
            <xdr:cNvPr id="59" name="T34">
              <a:extLst>
                <a:ext uri="{FF2B5EF4-FFF2-40B4-BE49-F238E27FC236}">
                  <a16:creationId xmlns:a16="http://schemas.microsoft.com/office/drawing/2014/main" id="{3B4CE2BE-2750-D8DD-9158-1CDAF56D1CAB}"/>
                </a:ext>
              </a:extLst>
            </xdr:cNvPr>
            <xdr:cNvSpPr/>
          </xdr:nvSpPr>
          <xdr:spPr>
            <a:xfrm>
              <a:off x="4194097" y="5058990"/>
              <a:ext cx="180000" cy="141910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id-ID" sz="1000" b="1">
                <a:solidFill>
                  <a:schemeClr val="tx1"/>
                </a:solidFill>
              </a:endParaRPr>
            </a:p>
          </xdr:txBody>
        </xdr:sp>
        <xdr:sp macro="[0]!Pilih35" textlink="">
          <xdr:nvSpPr>
            <xdr:cNvPr id="60" name="T35">
              <a:extLst>
                <a:ext uri="{FF2B5EF4-FFF2-40B4-BE49-F238E27FC236}">
                  <a16:creationId xmlns:a16="http://schemas.microsoft.com/office/drawing/2014/main" id="{FDD53F2F-FCB1-D613-7148-0F5845752CE4}"/>
                </a:ext>
              </a:extLst>
            </xdr:cNvPr>
            <xdr:cNvSpPr/>
          </xdr:nvSpPr>
          <xdr:spPr>
            <a:xfrm>
              <a:off x="4441748" y="5058990"/>
              <a:ext cx="180000" cy="141910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id-ID" sz="1000" b="1">
                <a:solidFill>
                  <a:schemeClr val="tx1"/>
                </a:solidFill>
              </a:endParaRPr>
            </a:p>
          </xdr:txBody>
        </xdr:sp>
      </xdr:grpSp>
      <xdr:sp macro="[0]!OK" textlink="">
        <xdr:nvSpPr>
          <xdr:cNvPr id="24" name="PTanggal">
            <a:extLst>
              <a:ext uri="{FF2B5EF4-FFF2-40B4-BE49-F238E27FC236}">
                <a16:creationId xmlns:a16="http://schemas.microsoft.com/office/drawing/2014/main" id="{DDCD2D7B-16BA-BF42-8122-3F2019360CFC}"/>
              </a:ext>
            </a:extLst>
          </xdr:cNvPr>
          <xdr:cNvSpPr/>
        </xdr:nvSpPr>
        <xdr:spPr>
          <a:xfrm>
            <a:off x="2819160" y="4842014"/>
            <a:ext cx="1282026" cy="207441"/>
          </a:xfrm>
          <a:prstGeom prst="roundRect">
            <a:avLst/>
          </a:prstGeom>
          <a:solidFill>
            <a:sysClr val="window" lastClr="FFFFFF"/>
          </a:solidFill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lIns="36000" tIns="0" rIns="36000" bIns="0" rtlCol="0" anchor="ctr"/>
          <a:lstStyle/>
          <a:p>
            <a:pPr algn="ctr"/>
            <a:endParaRPr lang="id-ID" sz="1000" b="1"/>
          </a:p>
        </xdr:txBody>
      </xdr:sp>
      <xdr:sp macro="[0]!OK" textlink="">
        <xdr:nvSpPr>
          <xdr:cNvPr id="25" name="Persegi Panjang: Sudut Lengkung 20">
            <a:extLst>
              <a:ext uri="{FF2B5EF4-FFF2-40B4-BE49-F238E27FC236}">
                <a16:creationId xmlns:a16="http://schemas.microsoft.com/office/drawing/2014/main" id="{07B4BFCD-1934-6560-6A62-DE1C53ED471D}"/>
              </a:ext>
            </a:extLst>
          </xdr:cNvPr>
          <xdr:cNvSpPr/>
        </xdr:nvSpPr>
        <xdr:spPr>
          <a:xfrm>
            <a:off x="4147238" y="4836713"/>
            <a:ext cx="356584" cy="207441"/>
          </a:xfrm>
          <a:prstGeom prst="roundRect">
            <a:avLst/>
          </a:prstGeom>
          <a:gradFill flip="none" rotWithShape="1">
            <a:gsLst>
              <a:gs pos="0">
                <a:srgbClr val="00823B">
                  <a:shade val="30000"/>
                  <a:satMod val="115000"/>
                </a:srgbClr>
              </a:gs>
              <a:gs pos="50000">
                <a:srgbClr val="00823B">
                  <a:shade val="67500"/>
                  <a:satMod val="115000"/>
                </a:srgbClr>
              </a:gs>
              <a:gs pos="100000">
                <a:srgbClr val="00823B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lIns="36000" tIns="0" rIns="36000" bIns="0" rtlCol="0" anchor="ctr"/>
          <a:lstStyle/>
          <a:p>
            <a:pPr algn="ctr"/>
            <a:r>
              <a:rPr lang="en-US" sz="1100" b="1"/>
              <a:t>Oke</a:t>
            </a:r>
            <a:endParaRPr lang="id-ID" sz="1100" b="1"/>
          </a:p>
        </xdr:txBody>
      </xdr:sp>
    </xdr:grpSp>
    <xdr:clientData/>
  </xdr:twoCellAnchor>
  <xdr:twoCellAnchor>
    <xdr:from>
      <xdr:col>5</xdr:col>
      <xdr:colOff>276225</xdr:colOff>
      <xdr:row>2</xdr:row>
      <xdr:rowOff>128588</xdr:rowOff>
    </xdr:from>
    <xdr:to>
      <xdr:col>19</xdr:col>
      <xdr:colOff>652747</xdr:colOff>
      <xdr:row>33</xdr:row>
      <xdr:rowOff>31296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E95FBF2-F73F-E02F-45D5-5826536AC7BB}"/>
            </a:ext>
          </a:extLst>
        </xdr:cNvPr>
        <xdr:cNvGrpSpPr/>
      </xdr:nvGrpSpPr>
      <xdr:grpSpPr>
        <a:xfrm>
          <a:off x="2562225" y="538163"/>
          <a:ext cx="10844497" cy="6160633"/>
          <a:chOff x="2491468" y="565377"/>
          <a:chExt cx="10541058" cy="6270851"/>
        </a:xfrm>
      </xdr:grpSpPr>
      <xdr:pic>
        <xdr:nvPicPr>
          <xdr:cNvPr id="2" name="Gambar 5">
            <a:extLst>
              <a:ext uri="{FF2B5EF4-FFF2-40B4-BE49-F238E27FC236}">
                <a16:creationId xmlns:a16="http://schemas.microsoft.com/office/drawing/2014/main" id="{0261B25D-7A1F-4C13-B561-D975754AC7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91468" y="565377"/>
            <a:ext cx="4541727" cy="1030957"/>
          </a:xfrm>
          <a:prstGeom prst="rect">
            <a:avLst/>
          </a:prstGeom>
        </xdr:spPr>
      </xdr:pic>
      <xdr:pic>
        <xdr:nvPicPr>
          <xdr:cNvPr id="3" name="Gambar 8">
            <a:extLst>
              <a:ext uri="{FF2B5EF4-FFF2-40B4-BE49-F238E27FC236}">
                <a16:creationId xmlns:a16="http://schemas.microsoft.com/office/drawing/2014/main" id="{3771C47B-4C35-4748-94DC-741FC00D72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497661" y="565377"/>
            <a:ext cx="4534865" cy="1030957"/>
          </a:xfrm>
          <a:prstGeom prst="rect">
            <a:avLst/>
          </a:prstGeom>
        </xdr:spPr>
      </xdr:pic>
      <xdr:pic>
        <xdr:nvPicPr>
          <xdr:cNvPr id="1055" name="Picture 3">
            <a:extLst>
              <a:ext uri="{FF2B5EF4-FFF2-40B4-BE49-F238E27FC236}">
                <a16:creationId xmlns:a16="http://schemas.microsoft.com/office/drawing/2014/main" id="{71E7ACD8-BDD5-4B9F-9685-CA0AE98F0F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32640" y="5467360"/>
            <a:ext cx="1529443" cy="13688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56" name="Picture 3">
            <a:extLst>
              <a:ext uri="{FF2B5EF4-FFF2-40B4-BE49-F238E27FC236}">
                <a16:creationId xmlns:a16="http://schemas.microsoft.com/office/drawing/2014/main" id="{28A8E607-BCF3-49DD-9ABC-365F1621EE2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338833" y="5448310"/>
            <a:ext cx="1393372" cy="13688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20</xdr:col>
      <xdr:colOff>142875</xdr:colOff>
      <xdr:row>3</xdr:row>
      <xdr:rowOff>7844</xdr:rowOff>
    </xdr:from>
    <xdr:to>
      <xdr:col>21</xdr:col>
      <xdr:colOff>863973</xdr:colOff>
      <xdr:row>4</xdr:row>
      <xdr:rowOff>85165</xdr:rowOff>
    </xdr:to>
    <xdr:sp macro="[0]!Kode.Perpanjang" textlink="">
      <xdr:nvSpPr>
        <xdr:cNvPr id="1057" name="Persegi Panjang: Sudut Lengkung 2879">
          <a:extLst>
            <a:ext uri="{FF2B5EF4-FFF2-40B4-BE49-F238E27FC236}">
              <a16:creationId xmlns:a16="http://schemas.microsoft.com/office/drawing/2014/main" id="{13C2006F-C6DA-4EC2-935E-6500A1FC0272}"/>
            </a:ext>
          </a:extLst>
        </xdr:cNvPr>
        <xdr:cNvSpPr/>
      </xdr:nvSpPr>
      <xdr:spPr>
        <a:xfrm>
          <a:off x="13687425" y="607919"/>
          <a:ext cx="1006848" cy="277346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  <a:shade val="30000"/>
                <a:satMod val="115000"/>
              </a:schemeClr>
            </a:gs>
            <a:gs pos="50000">
              <a:schemeClr val="accent1">
                <a:lumMod val="75000"/>
                <a:shade val="67500"/>
                <a:satMod val="115000"/>
              </a:schemeClr>
            </a:gs>
            <a:gs pos="100000">
              <a:schemeClr val="accent1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d-ID" sz="1100" b="1"/>
            <a:t>Perpanjang</a:t>
          </a:r>
        </a:p>
      </xdr:txBody>
    </xdr:sp>
    <xdr:clientData/>
  </xdr:twoCellAnchor>
  <xdr:twoCellAnchor editAs="absolute">
    <xdr:from>
      <xdr:col>23</xdr:col>
      <xdr:colOff>95250</xdr:colOff>
      <xdr:row>31</xdr:row>
      <xdr:rowOff>180975</xdr:rowOff>
    </xdr:from>
    <xdr:to>
      <xdr:col>26</xdr:col>
      <xdr:colOff>438150</xdr:colOff>
      <xdr:row>33</xdr:row>
      <xdr:rowOff>19050</xdr:rowOff>
    </xdr:to>
    <xdr:sp macro="" textlink="">
      <xdr:nvSpPr>
        <xdr:cNvPr id="6" name="Lokasi">
          <a:extLst>
            <a:ext uri="{FF2B5EF4-FFF2-40B4-BE49-F238E27FC236}">
              <a16:creationId xmlns:a16="http://schemas.microsoft.com/office/drawing/2014/main" id="{5DF49233-127C-470D-B33E-D61B11D04B5A}"/>
            </a:ext>
          </a:extLst>
        </xdr:cNvPr>
        <xdr:cNvSpPr/>
      </xdr:nvSpPr>
      <xdr:spPr>
        <a:xfrm>
          <a:off x="23860125" y="6448425"/>
          <a:ext cx="2543175" cy="23812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lang="id-ID" sz="1100"/>
            <a:t>E:\PPSA\1445\Database</a:t>
          </a:r>
        </a:p>
      </xdr:txBody>
    </xdr:sp>
    <xdr:clientData/>
  </xdr:twoCellAnchor>
  <xdr:twoCellAnchor editAs="absolute">
    <xdr:from>
      <xdr:col>26</xdr:col>
      <xdr:colOff>466725</xdr:colOff>
      <xdr:row>31</xdr:row>
      <xdr:rowOff>190500</xdr:rowOff>
    </xdr:from>
    <xdr:to>
      <xdr:col>28</xdr:col>
      <xdr:colOff>85725</xdr:colOff>
      <xdr:row>33</xdr:row>
      <xdr:rowOff>9525</xdr:rowOff>
    </xdr:to>
    <xdr:sp macro="" textlink="">
      <xdr:nvSpPr>
        <xdr:cNvPr id="7" name="NamaFile">
          <a:extLst>
            <a:ext uri="{FF2B5EF4-FFF2-40B4-BE49-F238E27FC236}">
              <a16:creationId xmlns:a16="http://schemas.microsoft.com/office/drawing/2014/main" id="{2389EA1E-5934-4871-AC73-EC9E33B22BB2}"/>
            </a:ext>
          </a:extLst>
        </xdr:cNvPr>
        <xdr:cNvSpPr/>
      </xdr:nvSpPr>
      <xdr:spPr>
        <a:xfrm>
          <a:off x="26431875" y="6457950"/>
          <a:ext cx="1085850" cy="21907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lang="id-ID" sz="1100"/>
            <a:t>Santri.accdb</a:t>
          </a:r>
        </a:p>
      </xdr:txBody>
    </xdr:sp>
    <xdr:clientData/>
  </xdr:twoCellAnchor>
  <xdr:twoCellAnchor editAs="absolute">
    <xdr:from>
      <xdr:col>25</xdr:col>
      <xdr:colOff>361949</xdr:colOff>
      <xdr:row>35</xdr:row>
      <xdr:rowOff>76200</xdr:rowOff>
    </xdr:from>
    <xdr:to>
      <xdr:col>26</xdr:col>
      <xdr:colOff>380999</xdr:colOff>
      <xdr:row>36</xdr:row>
      <xdr:rowOff>142875</xdr:rowOff>
    </xdr:to>
    <xdr:sp macro="[0]!InstallAddI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9E481CC-AB28-4290-BD77-FE8F7FD2F06F}"/>
            </a:ext>
          </a:extLst>
        </xdr:cNvPr>
        <xdr:cNvSpPr/>
      </xdr:nvSpPr>
      <xdr:spPr>
        <a:xfrm>
          <a:off x="25593674" y="7143750"/>
          <a:ext cx="752475" cy="2667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atin typeface="Calibri" panose="020F0502020204030204" pitchFamily="34" charset="0"/>
              <a:cs typeface="Calibri" panose="020F0502020204030204" pitchFamily="34" charset="0"/>
            </a:rPr>
            <a:t>Install</a:t>
          </a:r>
        </a:p>
      </xdr:txBody>
    </xdr:sp>
    <xdr:clientData/>
  </xdr:twoCellAnchor>
  <xdr:twoCellAnchor editAs="absolute">
    <xdr:from>
      <xdr:col>26</xdr:col>
      <xdr:colOff>428624</xdr:colOff>
      <xdr:row>35</xdr:row>
      <xdr:rowOff>76200</xdr:rowOff>
    </xdr:from>
    <xdr:to>
      <xdr:col>27</xdr:col>
      <xdr:colOff>447674</xdr:colOff>
      <xdr:row>36</xdr:row>
      <xdr:rowOff>142875</xdr:rowOff>
    </xdr:to>
    <xdr:sp macro="[0]!UninstallAddIn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195811E-238D-4899-B95F-FE030951FBE6}"/>
            </a:ext>
          </a:extLst>
        </xdr:cNvPr>
        <xdr:cNvSpPr/>
      </xdr:nvSpPr>
      <xdr:spPr>
        <a:xfrm>
          <a:off x="26393774" y="7143750"/>
          <a:ext cx="752475" cy="26670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6200000" scaled="1"/>
          <a:tileRect/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atin typeface="Calibri" panose="020F0502020204030204" pitchFamily="34" charset="0"/>
              <a:cs typeface="Calibri" panose="020F0502020204030204" pitchFamily="34" charset="0"/>
            </a:rPr>
            <a:t>Uninstal</a:t>
          </a:r>
        </a:p>
      </xdr:txBody>
    </xdr:sp>
    <xdr:clientData/>
  </xdr:twoCellAnchor>
  <xdr:twoCellAnchor>
    <xdr:from>
      <xdr:col>0</xdr:col>
      <xdr:colOff>257175</xdr:colOff>
      <xdr:row>0</xdr:row>
      <xdr:rowOff>76200</xdr:rowOff>
    </xdr:from>
    <xdr:to>
      <xdr:col>2</xdr:col>
      <xdr:colOff>47625</xdr:colOff>
      <xdr:row>1</xdr:row>
      <xdr:rowOff>142875</xdr:rowOff>
    </xdr:to>
    <xdr:sp macro="[0]!OpenUserform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EA14F64-2427-4F78-B45C-51D9497C3289}"/>
            </a:ext>
          </a:extLst>
        </xdr:cNvPr>
        <xdr:cNvSpPr/>
      </xdr:nvSpPr>
      <xdr:spPr>
        <a:xfrm>
          <a:off x="257175" y="76200"/>
          <a:ext cx="866775" cy="266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/>
            <a:t>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18DDD-89A1-4D14-836C-4CB8B11C021F}">
  <sheetPr codeName="Sheet1">
    <pageSetUpPr fitToPage="1"/>
  </sheetPr>
  <dimension ref="A1:AB41"/>
  <sheetViews>
    <sheetView tabSelected="1" zoomScaleNormal="100" workbookViewId="0">
      <pane xSplit="12" ySplit="2" topLeftCell="W3" activePane="bottomRight" state="frozen"/>
      <selection pane="topRight" activeCell="M1" sqref="M1"/>
      <selection pane="bottomLeft" activeCell="A3" sqref="A3"/>
      <selection pane="bottomRight" activeCell="AD28" sqref="AD28"/>
    </sheetView>
  </sheetViews>
  <sheetFormatPr defaultColWidth="8.5546875" defaultRowHeight="15.75"/>
  <cols>
    <col min="1" max="1" width="3.33203125" style="1" customWidth="1"/>
    <col min="2" max="3" width="9.21875" style="1" customWidth="1"/>
    <col min="4" max="5" width="2.44140625" style="1" customWidth="1"/>
    <col min="6" max="6" width="5.88671875" style="1" customWidth="1"/>
    <col min="7" max="10" width="8.5546875" style="1"/>
    <col min="11" max="11" width="10.109375" style="1" customWidth="1"/>
    <col min="12" max="12" width="13.44140625" style="1" customWidth="1"/>
    <col min="13" max="13" width="8.5546875" style="1" customWidth="1"/>
    <col min="14" max="14" width="5.88671875" style="1" customWidth="1"/>
    <col min="15" max="18" width="8.5546875" style="1"/>
    <col min="19" max="19" width="9.77734375" style="1" customWidth="1"/>
    <col min="20" max="20" width="12.77734375" style="1" customWidth="1"/>
    <col min="21" max="21" width="3.33203125" style="1" customWidth="1"/>
    <col min="22" max="22" width="105.6640625" style="4" customWidth="1"/>
    <col min="23" max="23" width="6.6640625" style="5" customWidth="1"/>
    <col min="24" max="16384" width="8.5546875" style="6"/>
  </cols>
  <sheetData>
    <row r="1" spans="1:23" s="39" customFormat="1">
      <c r="B1" s="40"/>
      <c r="C1" s="40"/>
      <c r="D1" s="40"/>
      <c r="E1" s="40"/>
      <c r="F1" s="40"/>
      <c r="V1" s="41"/>
      <c r="W1" s="42"/>
    </row>
    <row r="2" spans="1:23" s="39" customFormat="1" ht="16.5" thickBot="1">
      <c r="B2" s="40"/>
      <c r="C2" s="40"/>
      <c r="D2" s="40"/>
      <c r="E2" s="40"/>
      <c r="F2" s="40"/>
      <c r="T2" s="43"/>
      <c r="V2" s="41"/>
      <c r="W2" s="42"/>
    </row>
    <row r="3" spans="1:23" ht="16.5" thickTop="1">
      <c r="A3" s="2"/>
      <c r="E3" s="37"/>
      <c r="F3" s="59"/>
      <c r="G3" s="60"/>
      <c r="H3" s="60"/>
      <c r="I3" s="60"/>
      <c r="J3" s="60"/>
      <c r="K3" s="60"/>
      <c r="L3" s="61"/>
      <c r="M3" s="3"/>
      <c r="N3" s="59"/>
      <c r="O3" s="60"/>
      <c r="P3" s="60"/>
      <c r="Q3" s="60"/>
      <c r="R3" s="60"/>
      <c r="S3" s="60"/>
      <c r="T3" s="61"/>
    </row>
    <row r="4" spans="1:23">
      <c r="E4" s="37"/>
      <c r="F4" s="62"/>
      <c r="G4" s="63"/>
      <c r="H4" s="63"/>
      <c r="I4" s="64"/>
      <c r="J4" s="63"/>
      <c r="K4" s="65"/>
      <c r="L4" s="66"/>
      <c r="M4" s="7"/>
      <c r="N4" s="67"/>
      <c r="O4" s="63"/>
      <c r="P4" s="63"/>
      <c r="Q4" s="63"/>
      <c r="R4" s="63"/>
      <c r="S4" s="63"/>
      <c r="T4" s="66"/>
    </row>
    <row r="5" spans="1:23">
      <c r="E5" s="37"/>
      <c r="F5" s="62"/>
      <c r="G5" s="63"/>
      <c r="H5" s="63"/>
      <c r="I5" s="64"/>
      <c r="J5" s="63"/>
      <c r="K5" s="65"/>
      <c r="L5" s="66"/>
      <c r="M5" s="7"/>
      <c r="N5" s="67"/>
      <c r="O5" s="63"/>
      <c r="P5" s="63"/>
      <c r="Q5" s="63"/>
      <c r="R5" s="63"/>
      <c r="S5" s="63"/>
      <c r="T5" s="66"/>
    </row>
    <row r="6" spans="1:23">
      <c r="E6" s="37"/>
      <c r="F6" s="62"/>
      <c r="G6" s="63"/>
      <c r="H6" s="63"/>
      <c r="I6" s="64"/>
      <c r="J6" s="63"/>
      <c r="K6" s="65"/>
      <c r="L6" s="66"/>
      <c r="M6" s="7"/>
      <c r="N6" s="67"/>
      <c r="O6" s="63"/>
      <c r="P6" s="63"/>
      <c r="Q6" s="63"/>
      <c r="R6" s="63"/>
      <c r="S6" s="63"/>
      <c r="T6" s="66"/>
      <c r="U6" s="8"/>
      <c r="V6" s="9"/>
      <c r="W6" s="10"/>
    </row>
    <row r="7" spans="1:23">
      <c r="E7" s="37"/>
      <c r="F7" s="62"/>
      <c r="G7" s="63"/>
      <c r="H7" s="63"/>
      <c r="I7" s="64"/>
      <c r="J7" s="63"/>
      <c r="K7" s="65"/>
      <c r="L7" s="66"/>
      <c r="M7" s="7"/>
      <c r="N7" s="67"/>
      <c r="O7" s="63"/>
      <c r="P7" s="63"/>
      <c r="Q7" s="63"/>
      <c r="R7" s="63"/>
      <c r="S7" s="63"/>
      <c r="T7" s="66"/>
      <c r="U7" s="11"/>
    </row>
    <row r="8" spans="1:23">
      <c r="E8" s="37"/>
      <c r="F8" s="62"/>
      <c r="G8" s="63"/>
      <c r="H8" s="63"/>
      <c r="I8" s="64"/>
      <c r="J8" s="63"/>
      <c r="K8" s="65"/>
      <c r="L8" s="66"/>
      <c r="M8" s="7"/>
      <c r="N8" s="67"/>
      <c r="O8" s="63"/>
      <c r="P8" s="63"/>
      <c r="Q8" s="63"/>
      <c r="R8" s="63"/>
      <c r="S8" s="63"/>
      <c r="T8" s="66"/>
      <c r="U8" s="11"/>
    </row>
    <row r="9" spans="1:23">
      <c r="B9" s="12"/>
      <c r="C9" s="12"/>
      <c r="E9" s="37"/>
      <c r="F9" s="13"/>
      <c r="G9" s="44"/>
      <c r="H9" s="44"/>
      <c r="I9" s="45"/>
      <c r="J9" s="44"/>
      <c r="K9" s="46"/>
      <c r="L9" s="47"/>
      <c r="M9" s="7"/>
      <c r="N9" s="13"/>
      <c r="O9" s="44"/>
      <c r="P9" s="44"/>
      <c r="Q9" s="45"/>
      <c r="R9" s="44"/>
      <c r="S9" s="46"/>
      <c r="T9" s="47"/>
      <c r="U9" s="11"/>
    </row>
    <row r="10" spans="1:23" ht="19.5">
      <c r="B10" s="14">
        <v>1430109</v>
      </c>
      <c r="C10" s="15"/>
      <c r="E10" s="37"/>
      <c r="F10" s="89" t="s">
        <v>0</v>
      </c>
      <c r="G10" s="90"/>
      <c r="H10" s="90"/>
      <c r="I10" s="90"/>
      <c r="J10" s="90"/>
      <c r="K10" s="90"/>
      <c r="L10" s="91"/>
      <c r="M10" s="16"/>
      <c r="N10" s="89" t="s">
        <v>0</v>
      </c>
      <c r="O10" s="90"/>
      <c r="P10" s="90"/>
      <c r="Q10" s="90"/>
      <c r="R10" s="90"/>
      <c r="S10" s="90"/>
      <c r="T10" s="91"/>
      <c r="U10" s="11"/>
      <c r="V10" s="17"/>
      <c r="W10" s="17"/>
    </row>
    <row r="11" spans="1:23">
      <c r="B11" s="18"/>
      <c r="C11" s="18"/>
      <c r="E11" s="37"/>
      <c r="F11" s="92" t="s">
        <v>1</v>
      </c>
      <c r="G11" s="93"/>
      <c r="H11" s="93"/>
      <c r="I11" s="93"/>
      <c r="J11" s="93"/>
      <c r="K11" s="93"/>
      <c r="L11" s="94"/>
      <c r="M11" s="19"/>
      <c r="N11" s="92" t="str">
        <f>F11</f>
        <v>No: 1705/Y.AU/A.5.3/0.1445</v>
      </c>
      <c r="O11" s="93"/>
      <c r="P11" s="93"/>
      <c r="Q11" s="93"/>
      <c r="R11" s="93"/>
      <c r="S11" s="93"/>
      <c r="T11" s="95"/>
      <c r="U11" s="20"/>
      <c r="V11" s="21"/>
      <c r="W11" s="22"/>
    </row>
    <row r="12" spans="1:23">
      <c r="E12" s="37"/>
      <c r="F12" s="23"/>
      <c r="G12" s="48" t="s">
        <v>2</v>
      </c>
      <c r="H12" s="96" t="s">
        <v>45</v>
      </c>
      <c r="I12" s="96"/>
      <c r="J12" s="96"/>
      <c r="K12" s="96"/>
      <c r="L12" s="97"/>
      <c r="M12" s="7"/>
      <c r="N12" s="23"/>
      <c r="O12" s="48" t="s">
        <v>2</v>
      </c>
      <c r="P12" s="96" t="str">
        <f>H12</f>
        <v>Muhammad Hamdaniel Mobarok</v>
      </c>
      <c r="Q12" s="96"/>
      <c r="R12" s="96"/>
      <c r="S12" s="96"/>
      <c r="T12" s="24"/>
      <c r="U12" s="25"/>
      <c r="V12" s="21"/>
      <c r="W12" s="22"/>
    </row>
    <row r="13" spans="1:23">
      <c r="E13" s="37"/>
      <c r="F13" s="23"/>
      <c r="G13" s="48" t="s">
        <v>3</v>
      </c>
      <c r="H13" s="96" t="s">
        <v>46</v>
      </c>
      <c r="I13" s="96"/>
      <c r="J13" s="96"/>
      <c r="K13" s="96"/>
      <c r="L13" s="97"/>
      <c r="M13" s="7"/>
      <c r="N13" s="23"/>
      <c r="O13" s="48" t="s">
        <v>3</v>
      </c>
      <c r="P13" s="96" t="str">
        <f>H13</f>
        <v>Abdul Halim Syarif</v>
      </c>
      <c r="Q13" s="96"/>
      <c r="R13" s="96"/>
      <c r="S13" s="96"/>
      <c r="T13" s="24"/>
      <c r="U13" s="25"/>
      <c r="V13" s="21"/>
      <c r="W13" s="22"/>
    </row>
    <row r="14" spans="1:23">
      <c r="E14" s="37"/>
      <c r="F14" s="23"/>
      <c r="G14" s="48" t="s">
        <v>4</v>
      </c>
      <c r="H14" s="96">
        <v>0</v>
      </c>
      <c r="I14" s="96"/>
      <c r="J14" s="96"/>
      <c r="K14" s="96"/>
      <c r="L14" s="97"/>
      <c r="M14" s="7"/>
      <c r="N14" s="23"/>
      <c r="O14" s="48" t="s">
        <v>4</v>
      </c>
      <c r="P14" s="96">
        <f>H14</f>
        <v>0</v>
      </c>
      <c r="Q14" s="96"/>
      <c r="R14" s="96"/>
      <c r="S14" s="96"/>
      <c r="T14" s="24"/>
      <c r="U14" s="25"/>
      <c r="V14" s="21"/>
      <c r="W14" s="22"/>
    </row>
    <row r="15" spans="1:23" ht="15.75" customHeight="1">
      <c r="E15" s="37"/>
      <c r="F15" s="23"/>
      <c r="G15" s="48" t="s">
        <v>5</v>
      </c>
      <c r="H15" s="98" t="s">
        <v>47</v>
      </c>
      <c r="I15" s="98"/>
      <c r="J15" s="98"/>
      <c r="K15" s="98"/>
      <c r="L15" s="99"/>
      <c r="M15" s="7"/>
      <c r="N15" s="23"/>
      <c r="O15" s="48" t="s">
        <v>5</v>
      </c>
      <c r="P15" s="98" t="str">
        <f>H15</f>
        <v>Patemon Kidul Sawah 02/15 Sukosari, Sukowono, Jember</v>
      </c>
      <c r="Q15" s="98"/>
      <c r="R15" s="98"/>
      <c r="S15" s="98"/>
      <c r="T15" s="24"/>
      <c r="U15" s="25"/>
      <c r="V15" s="21"/>
      <c r="W15" s="22"/>
    </row>
    <row r="16" spans="1:23">
      <c r="A16" s="26"/>
      <c r="E16" s="37"/>
      <c r="F16" s="23"/>
      <c r="G16" s="48"/>
      <c r="H16" s="98"/>
      <c r="I16" s="98"/>
      <c r="J16" s="98"/>
      <c r="K16" s="98"/>
      <c r="L16" s="99"/>
      <c r="M16" s="7"/>
      <c r="N16" s="23"/>
      <c r="O16" s="48"/>
      <c r="P16" s="98"/>
      <c r="Q16" s="98"/>
      <c r="R16" s="98"/>
      <c r="S16" s="98"/>
      <c r="T16" s="24"/>
      <c r="U16" s="25"/>
      <c r="V16" s="21"/>
      <c r="W16" s="22"/>
    </row>
    <row r="17" spans="1:23">
      <c r="A17" s="26"/>
      <c r="E17" s="37"/>
      <c r="F17" s="23"/>
      <c r="G17" s="48"/>
      <c r="H17" s="51"/>
      <c r="I17" s="51"/>
      <c r="J17" s="51"/>
      <c r="K17" s="51"/>
      <c r="L17" s="52"/>
      <c r="M17" s="7"/>
      <c r="N17" s="23"/>
      <c r="O17" s="48"/>
      <c r="P17" s="51"/>
      <c r="Q17" s="51"/>
      <c r="R17" s="51"/>
      <c r="S17" s="51"/>
      <c r="T17" s="24"/>
      <c r="U17" s="25"/>
      <c r="V17" s="21"/>
      <c r="W17" s="22"/>
    </row>
    <row r="18" spans="1:23">
      <c r="A18" s="26"/>
      <c r="E18" s="37"/>
      <c r="F18" s="23"/>
      <c r="G18" s="48" t="s">
        <v>6</v>
      </c>
      <c r="H18" s="49" t="s">
        <v>48</v>
      </c>
      <c r="I18" s="53"/>
      <c r="J18" s="27" t="s">
        <v>7</v>
      </c>
      <c r="K18" s="54" t="s">
        <v>8</v>
      </c>
      <c r="L18" s="50"/>
      <c r="M18" s="7" t="s">
        <v>9</v>
      </c>
      <c r="N18" s="23"/>
      <c r="O18" s="48" t="s">
        <v>6</v>
      </c>
      <c r="P18" s="49" t="str">
        <f>H18</f>
        <v>D.09</v>
      </c>
      <c r="Q18" s="53"/>
      <c r="R18" s="27" t="s">
        <v>7</v>
      </c>
      <c r="S18" s="54" t="str">
        <f>K18</f>
        <v>Wustha [.3]</v>
      </c>
      <c r="T18" s="24"/>
      <c r="U18" s="25"/>
      <c r="V18" s="21"/>
      <c r="W18" s="22"/>
    </row>
    <row r="19" spans="1:23">
      <c r="A19" s="26"/>
      <c r="E19" s="37"/>
      <c r="F19" s="23"/>
      <c r="G19" s="48" t="s">
        <v>10</v>
      </c>
      <c r="H19" s="55" t="s">
        <v>44</v>
      </c>
      <c r="I19" s="55"/>
      <c r="J19" s="27" t="s">
        <v>11</v>
      </c>
      <c r="K19" s="54" t="s">
        <v>12</v>
      </c>
      <c r="L19" s="50"/>
      <c r="M19" s="7" t="s">
        <v>9</v>
      </c>
      <c r="N19" s="23"/>
      <c r="O19" s="48" t="s">
        <v>10</v>
      </c>
      <c r="P19" s="55" t="str">
        <f>H19</f>
        <v>Ula [5.B]</v>
      </c>
      <c r="Q19" s="55"/>
      <c r="R19" s="27" t="s">
        <v>11</v>
      </c>
      <c r="S19" s="54" t="str">
        <f>K19</f>
        <v>Smai [X.Ips]</v>
      </c>
      <c r="T19" s="28"/>
      <c r="U19" s="29"/>
      <c r="V19" s="9"/>
      <c r="W19" s="10"/>
    </row>
    <row r="20" spans="1:23">
      <c r="A20" s="26"/>
      <c r="E20" s="37"/>
      <c r="F20" s="23"/>
      <c r="G20" s="48"/>
      <c r="H20" s="51"/>
      <c r="I20" s="53"/>
      <c r="J20" s="51"/>
      <c r="K20" s="54"/>
      <c r="L20" s="50"/>
      <c r="M20" s="7"/>
      <c r="N20" s="23"/>
      <c r="O20" s="48"/>
      <c r="P20" s="51"/>
      <c r="Q20" s="53"/>
      <c r="R20" s="51"/>
      <c r="S20" s="54"/>
      <c r="T20" s="24"/>
      <c r="U20" s="25"/>
      <c r="V20" s="21"/>
      <c r="W20" s="22"/>
    </row>
    <row r="21" spans="1:23">
      <c r="A21" s="26"/>
      <c r="E21" s="37"/>
      <c r="F21" s="23"/>
      <c r="G21" s="48" t="s">
        <v>13</v>
      </c>
      <c r="H21" s="51" t="s">
        <v>14</v>
      </c>
      <c r="I21" s="51"/>
      <c r="J21" s="51"/>
      <c r="K21" s="54"/>
      <c r="L21" s="50"/>
      <c r="M21" s="7"/>
      <c r="N21" s="23"/>
      <c r="O21" s="48" t="s">
        <v>13</v>
      </c>
      <c r="P21" s="51" t="str">
        <f>H21</f>
        <v>Sakit</v>
      </c>
      <c r="Q21" s="51"/>
      <c r="R21" s="51"/>
      <c r="S21" s="54"/>
      <c r="T21" s="24"/>
      <c r="U21" s="25"/>
      <c r="V21" s="21"/>
      <c r="W21" s="22"/>
    </row>
    <row r="22" spans="1:23">
      <c r="B22" s="30"/>
      <c r="C22" s="30"/>
      <c r="E22" s="37"/>
      <c r="F22" s="23"/>
      <c r="G22" s="48"/>
      <c r="H22" s="51"/>
      <c r="I22" s="51"/>
      <c r="J22" s="51"/>
      <c r="K22" s="54"/>
      <c r="L22" s="50"/>
      <c r="M22" s="7"/>
      <c r="N22" s="23"/>
      <c r="O22" s="48"/>
      <c r="P22" s="51"/>
      <c r="Q22" s="51"/>
      <c r="R22" s="51"/>
      <c r="S22" s="54"/>
      <c r="T22" s="24"/>
      <c r="U22" s="25"/>
      <c r="V22" s="21"/>
      <c r="W22" s="22"/>
    </row>
    <row r="23" spans="1:23">
      <c r="A23" s="31"/>
      <c r="B23" s="32"/>
      <c r="C23" s="32"/>
      <c r="D23" s="33"/>
      <c r="E23" s="38"/>
      <c r="F23" s="23"/>
      <c r="G23" s="48" t="s">
        <v>15</v>
      </c>
      <c r="H23" s="56" t="s">
        <v>16</v>
      </c>
      <c r="I23" s="51"/>
      <c r="J23" s="51" t="s">
        <v>17</v>
      </c>
      <c r="K23" s="54"/>
      <c r="L23" s="50"/>
      <c r="M23" s="7"/>
      <c r="N23" s="23"/>
      <c r="O23" s="48" t="s">
        <v>15</v>
      </c>
      <c r="P23" s="56" t="str">
        <f>H23</f>
        <v>Rabu, 19 Dzul Hijjah 1445 H. / 08 Juli 2023 M.</v>
      </c>
      <c r="Q23" s="51"/>
      <c r="R23" s="51"/>
      <c r="S23" s="54"/>
      <c r="T23" s="24"/>
      <c r="U23" s="25"/>
      <c r="V23" s="21"/>
      <c r="W23" s="22"/>
    </row>
    <row r="24" spans="1:23">
      <c r="A24" s="31"/>
      <c r="B24" s="32"/>
      <c r="C24" s="32"/>
      <c r="D24" s="33"/>
      <c r="E24" s="38"/>
      <c r="F24" s="23"/>
      <c r="G24" s="48" t="s">
        <v>18</v>
      </c>
      <c r="H24" s="56" t="s">
        <v>19</v>
      </c>
      <c r="I24" s="53"/>
      <c r="J24" s="51" t="s">
        <v>20</v>
      </c>
      <c r="K24" s="54"/>
      <c r="L24" s="50"/>
      <c r="M24" s="7"/>
      <c r="N24" s="23"/>
      <c r="O24" s="48" t="s">
        <v>18</v>
      </c>
      <c r="P24" s="56" t="str">
        <f>H24</f>
        <v>Juma'at, 21 Dzul Hijjah 1445 H. / 10 Juli 2023 M.</v>
      </c>
      <c r="Q24" s="53"/>
      <c r="R24" s="51"/>
      <c r="S24" s="54"/>
      <c r="T24" s="24"/>
      <c r="U24" s="25"/>
      <c r="V24" s="21"/>
      <c r="W24" s="22"/>
    </row>
    <row r="25" spans="1:23">
      <c r="A25" s="33"/>
      <c r="B25" s="32"/>
      <c r="C25" s="32"/>
      <c r="D25" s="33"/>
      <c r="E25" s="38"/>
      <c r="F25" s="23"/>
      <c r="G25" s="57"/>
      <c r="H25" s="58"/>
      <c r="I25" s="53"/>
      <c r="J25" s="51"/>
      <c r="K25" s="54"/>
      <c r="L25" s="50"/>
      <c r="M25" s="7"/>
      <c r="N25" s="23"/>
      <c r="O25" s="57">
        <f>G25</f>
        <v>0</v>
      </c>
      <c r="P25" s="56">
        <f>H25</f>
        <v>0</v>
      </c>
      <c r="Q25" s="53"/>
      <c r="R25" s="51"/>
      <c r="S25" s="54"/>
      <c r="T25" s="24"/>
      <c r="U25" s="25"/>
      <c r="V25" s="21"/>
      <c r="W25" s="22"/>
    </row>
    <row r="26" spans="1:23">
      <c r="E26" s="37"/>
      <c r="F26" s="23"/>
      <c r="G26" s="48" t="s">
        <v>21</v>
      </c>
      <c r="H26" s="51" t="s">
        <v>22</v>
      </c>
      <c r="I26" s="53"/>
      <c r="J26" s="51"/>
      <c r="K26" s="54"/>
      <c r="L26" s="50"/>
      <c r="M26" s="7"/>
      <c r="N26" s="23"/>
      <c r="O26" s="48" t="str">
        <f>G26</f>
        <v>Lama Ijin</v>
      </c>
      <c r="P26" s="51" t="str">
        <f>H26</f>
        <v>3 Hari</v>
      </c>
      <c r="Q26" s="53"/>
      <c r="R26" s="51"/>
      <c r="S26" s="54"/>
      <c r="T26" s="24"/>
      <c r="U26" s="25"/>
      <c r="V26" s="21"/>
      <c r="W26" s="22"/>
    </row>
    <row r="27" spans="1:23">
      <c r="E27" s="37"/>
      <c r="F27" s="23"/>
      <c r="G27" s="48"/>
      <c r="H27" s="51"/>
      <c r="I27" s="53"/>
      <c r="J27" s="51"/>
      <c r="K27" s="51"/>
      <c r="L27" s="50"/>
      <c r="M27" s="7"/>
      <c r="N27" s="23"/>
      <c r="O27" s="48">
        <f>G27</f>
        <v>0</v>
      </c>
      <c r="P27" s="51">
        <f>H27</f>
        <v>0</v>
      </c>
      <c r="Q27" s="53"/>
      <c r="R27" s="51"/>
      <c r="S27" s="51"/>
      <c r="T27" s="24"/>
      <c r="U27" s="25"/>
      <c r="V27" s="21"/>
      <c r="W27" s="22"/>
    </row>
    <row r="28" spans="1:23">
      <c r="E28" s="37"/>
      <c r="F28" s="23"/>
      <c r="G28" s="51"/>
      <c r="H28" s="51"/>
      <c r="I28" s="53"/>
      <c r="J28" s="51"/>
      <c r="K28" s="53" t="s">
        <v>23</v>
      </c>
      <c r="L28" s="52"/>
      <c r="M28" s="7"/>
      <c r="N28" s="23"/>
      <c r="O28" s="51"/>
      <c r="P28" s="51"/>
      <c r="Q28" s="53"/>
      <c r="R28" s="51"/>
      <c r="S28" s="53" t="str">
        <f>K28</f>
        <v>Beddian, 19 Dzul Hijjah 1445</v>
      </c>
      <c r="T28" s="24"/>
      <c r="U28" s="25"/>
      <c r="V28" s="21"/>
      <c r="W28" s="22"/>
    </row>
    <row r="29" spans="1:23">
      <c r="E29" s="37"/>
      <c r="F29" s="13"/>
      <c r="G29" s="101" t="str">
        <f>IF(M3=1,"Santri","Formal")</f>
        <v>Formal</v>
      </c>
      <c r="H29" s="102"/>
      <c r="I29" s="45"/>
      <c r="J29" s="44"/>
      <c r="K29" s="14" t="s">
        <v>24</v>
      </c>
      <c r="L29" s="47"/>
      <c r="M29" s="7"/>
      <c r="N29" s="13"/>
      <c r="O29" s="101" t="str">
        <f>IF(M3=1,"Diniyah","LTTQ")</f>
        <v>LTTQ</v>
      </c>
      <c r="P29" s="102"/>
      <c r="Q29" s="45"/>
      <c r="R29" s="44"/>
      <c r="S29" s="14" t="s">
        <v>24</v>
      </c>
      <c r="T29" s="24"/>
      <c r="U29" s="25"/>
      <c r="V29" s="21"/>
      <c r="W29" s="22"/>
    </row>
    <row r="30" spans="1:23">
      <c r="E30" s="37"/>
      <c r="F30" s="13"/>
      <c r="G30" s="103"/>
      <c r="H30" s="104"/>
      <c r="I30" s="45"/>
      <c r="J30" s="44"/>
      <c r="K30" s="14"/>
      <c r="L30" s="47"/>
      <c r="M30" s="7"/>
      <c r="N30" s="13"/>
      <c r="O30" s="103"/>
      <c r="P30" s="104"/>
      <c r="Q30" s="45"/>
      <c r="R30" s="44"/>
      <c r="S30" s="14"/>
      <c r="T30" s="24"/>
      <c r="U30" s="25"/>
      <c r="V30" s="21"/>
      <c r="W30" s="22"/>
    </row>
    <row r="31" spans="1:23">
      <c r="E31" s="37"/>
      <c r="F31" s="13"/>
      <c r="G31" s="105">
        <v>1430491</v>
      </c>
      <c r="H31" s="105"/>
      <c r="I31" s="45"/>
      <c r="J31" s="44"/>
      <c r="K31" s="44"/>
      <c r="L31" s="47"/>
      <c r="M31" s="7"/>
      <c r="N31" s="13"/>
      <c r="O31" s="105">
        <f>G31</f>
        <v>1430491</v>
      </c>
      <c r="P31" s="105"/>
      <c r="Q31" s="45"/>
      <c r="R31" s="44"/>
      <c r="S31" s="14"/>
      <c r="T31" s="24"/>
      <c r="U31" s="25"/>
      <c r="V31" s="21"/>
      <c r="W31" s="22"/>
    </row>
    <row r="32" spans="1:23">
      <c r="E32" s="37"/>
      <c r="F32" s="13"/>
      <c r="G32" s="44"/>
      <c r="H32" s="44"/>
      <c r="I32" s="45"/>
      <c r="J32" s="44"/>
      <c r="K32" s="14" t="s">
        <v>25</v>
      </c>
      <c r="L32" s="47"/>
      <c r="M32" s="7"/>
      <c r="N32" s="13"/>
      <c r="O32" s="44"/>
      <c r="P32" s="44"/>
      <c r="Q32" s="45"/>
      <c r="R32" s="44"/>
      <c r="S32" s="14" t="s">
        <v>25</v>
      </c>
      <c r="T32" s="24"/>
      <c r="U32" s="25"/>
      <c r="V32" s="21"/>
      <c r="W32" s="22"/>
    </row>
    <row r="33" spans="5:28">
      <c r="E33" s="37"/>
      <c r="F33" s="62"/>
      <c r="G33" s="68" t="s">
        <v>26</v>
      </c>
      <c r="H33" s="69"/>
      <c r="I33" s="70"/>
      <c r="J33" s="69"/>
      <c r="K33" s="71"/>
      <c r="L33" s="72"/>
      <c r="M33" s="7"/>
      <c r="N33" s="62"/>
      <c r="O33" s="68" t="s">
        <v>26</v>
      </c>
      <c r="P33" s="69"/>
      <c r="Q33" s="70"/>
      <c r="R33" s="69"/>
      <c r="S33" s="71"/>
      <c r="T33" s="72"/>
      <c r="V33" s="34"/>
      <c r="W33" s="35"/>
      <c r="X33" s="88" t="s">
        <v>43</v>
      </c>
    </row>
    <row r="34" spans="5:28">
      <c r="E34" s="37"/>
      <c r="F34" s="73" t="s">
        <v>27</v>
      </c>
      <c r="G34" s="74" t="s">
        <v>28</v>
      </c>
      <c r="H34" s="74"/>
      <c r="I34" s="75"/>
      <c r="J34" s="74"/>
      <c r="K34" s="76"/>
      <c r="L34" s="77"/>
      <c r="M34" s="36"/>
      <c r="N34" s="73" t="s">
        <v>27</v>
      </c>
      <c r="O34" s="74" t="s">
        <v>28</v>
      </c>
      <c r="P34" s="74"/>
      <c r="Q34" s="75"/>
      <c r="R34" s="74"/>
      <c r="S34" s="76"/>
      <c r="T34" s="77"/>
      <c r="V34" s="34"/>
      <c r="W34" s="35"/>
    </row>
    <row r="35" spans="5:28">
      <c r="E35" s="37"/>
      <c r="F35" s="73" t="s">
        <v>29</v>
      </c>
      <c r="G35" s="74" t="s">
        <v>30</v>
      </c>
      <c r="H35" s="74"/>
      <c r="I35" s="75"/>
      <c r="J35" s="74"/>
      <c r="K35" s="76"/>
      <c r="L35" s="77"/>
      <c r="M35" s="36"/>
      <c r="N35" s="73" t="s">
        <v>29</v>
      </c>
      <c r="O35" s="74" t="s">
        <v>30</v>
      </c>
      <c r="P35" s="74"/>
      <c r="Q35" s="75"/>
      <c r="R35" s="74"/>
      <c r="S35" s="76"/>
      <c r="T35" s="77"/>
      <c r="V35" s="34"/>
      <c r="W35" s="35"/>
      <c r="X35" s="86"/>
      <c r="Y35" s="87"/>
      <c r="Z35" s="100" t="s">
        <v>42</v>
      </c>
      <c r="AA35" s="100"/>
      <c r="AB35" s="100"/>
    </row>
    <row r="36" spans="5:28">
      <c r="E36" s="37"/>
      <c r="F36" s="73" t="s">
        <v>31</v>
      </c>
      <c r="G36" s="74" t="s">
        <v>32</v>
      </c>
      <c r="H36" s="74"/>
      <c r="I36" s="75"/>
      <c r="J36" s="74"/>
      <c r="K36" s="76"/>
      <c r="L36" s="77"/>
      <c r="M36" s="36"/>
      <c r="N36" s="73" t="s">
        <v>31</v>
      </c>
      <c r="O36" s="74" t="s">
        <v>33</v>
      </c>
      <c r="P36" s="74"/>
      <c r="Q36" s="75"/>
      <c r="R36" s="74"/>
      <c r="S36" s="76"/>
      <c r="T36" s="77"/>
      <c r="V36" s="34"/>
      <c r="W36" s="35"/>
      <c r="X36" s="86"/>
      <c r="Y36" s="87"/>
      <c r="Z36" s="86"/>
      <c r="AA36" s="86"/>
      <c r="AB36" s="86"/>
    </row>
    <row r="37" spans="5:28">
      <c r="E37" s="37"/>
      <c r="F37" s="78"/>
      <c r="G37" s="74" t="s">
        <v>34</v>
      </c>
      <c r="H37" s="74"/>
      <c r="I37" s="75"/>
      <c r="J37" s="74"/>
      <c r="K37" s="79"/>
      <c r="L37" s="77"/>
      <c r="M37" s="36"/>
      <c r="N37" s="78"/>
      <c r="O37" s="74" t="s">
        <v>35</v>
      </c>
      <c r="P37" s="74"/>
      <c r="Q37" s="75"/>
      <c r="R37" s="74"/>
      <c r="S37" s="79"/>
      <c r="T37" s="77"/>
      <c r="V37" s="34"/>
      <c r="W37" s="35"/>
      <c r="X37" s="86"/>
      <c r="Y37" s="87"/>
      <c r="Z37" s="86"/>
      <c r="AA37" s="86"/>
      <c r="AB37" s="86"/>
    </row>
    <row r="38" spans="5:28">
      <c r="E38" s="37"/>
      <c r="F38" s="73" t="s">
        <v>36</v>
      </c>
      <c r="G38" s="74" t="s">
        <v>37</v>
      </c>
      <c r="H38" s="74"/>
      <c r="I38" s="75"/>
      <c r="J38" s="74"/>
      <c r="K38" s="76"/>
      <c r="L38" s="77"/>
      <c r="M38" s="36"/>
      <c r="N38" s="73" t="s">
        <v>36</v>
      </c>
      <c r="O38" s="74" t="s">
        <v>38</v>
      </c>
      <c r="P38" s="74"/>
      <c r="Q38" s="75"/>
      <c r="R38" s="74"/>
      <c r="S38" s="76"/>
      <c r="T38" s="77"/>
      <c r="V38" s="34"/>
      <c r="W38" s="35"/>
    </row>
    <row r="39" spans="5:28">
      <c r="E39" s="37"/>
      <c r="F39" s="78"/>
      <c r="G39" s="74" t="s">
        <v>39</v>
      </c>
      <c r="H39" s="74"/>
      <c r="I39" s="75"/>
      <c r="J39" s="74"/>
      <c r="K39" s="79"/>
      <c r="L39" s="77"/>
      <c r="M39" s="36"/>
      <c r="N39" s="78"/>
      <c r="O39" s="74" t="s">
        <v>40</v>
      </c>
      <c r="P39" s="74"/>
      <c r="Q39" s="75"/>
      <c r="R39" s="74"/>
      <c r="S39" s="79"/>
      <c r="T39" s="77"/>
      <c r="V39" s="34"/>
      <c r="W39" s="35"/>
    </row>
    <row r="40" spans="5:28" ht="16.5" thickBot="1">
      <c r="E40" s="37"/>
      <c r="F40" s="80"/>
      <c r="G40" s="81"/>
      <c r="H40" s="81"/>
      <c r="I40" s="82"/>
      <c r="J40" s="81"/>
      <c r="K40" s="83"/>
      <c r="L40" s="84"/>
      <c r="M40" s="36"/>
      <c r="N40" s="85"/>
      <c r="O40" s="81" t="s">
        <v>41</v>
      </c>
      <c r="P40" s="81"/>
      <c r="Q40" s="82"/>
      <c r="R40" s="81"/>
      <c r="S40" s="83"/>
      <c r="T40" s="84"/>
      <c r="V40" s="34"/>
      <c r="W40" s="35"/>
    </row>
    <row r="41" spans="5:28" ht="16.5" thickTop="1"/>
  </sheetData>
  <mergeCells count="17">
    <mergeCell ref="Z35:AB35"/>
    <mergeCell ref="G29:H30"/>
    <mergeCell ref="O29:P30"/>
    <mergeCell ref="G31:H31"/>
    <mergeCell ref="O31:P31"/>
    <mergeCell ref="P13:S13"/>
    <mergeCell ref="P14:S14"/>
    <mergeCell ref="P15:S16"/>
    <mergeCell ref="H13:L13"/>
    <mergeCell ref="H14:L14"/>
    <mergeCell ref="H15:L16"/>
    <mergeCell ref="F10:L10"/>
    <mergeCell ref="N10:T10"/>
    <mergeCell ref="F11:L11"/>
    <mergeCell ref="N11:T11"/>
    <mergeCell ref="P12:S12"/>
    <mergeCell ref="H12:L12"/>
  </mergeCells>
  <dataValidations count="3">
    <dataValidation type="list" allowBlank="1" showInputMessage="1" sqref="H21" xr:uid="{D4A16C8D-D117-41F8-B25F-FC0C27E9C273}">
      <formula1>"Sakit,Orang Tua Sakit,Kifayah,Kepentingan Keluarga,Walimatul Usry"</formula1>
    </dataValidation>
    <dataValidation type="list" allowBlank="1" showInputMessage="1" sqref="P21" xr:uid="{D4E87B5B-919F-48DF-8C25-FDD238DDE817}">
      <formula1>"Sakit,Orang Tua Sakit,Kifayah,Kepentingan Keluarga"</formula1>
    </dataValidation>
    <dataValidation type="list" allowBlank="1" showInputMessage="1" showErrorMessage="1" sqref="G13 O13" xr:uid="{0285DCD6-548D-4BE5-AAA3-CDCEB7FD507E}">
      <formula1>"Ayah,Ibu,Wali,Saudara"</formula1>
    </dataValidation>
  </dataValidations>
  <printOptions horizontalCentered="1" verticalCentered="1"/>
  <pageMargins left="0.23622047244094491" right="0.23622047244094491" top="0" bottom="0" header="0" footer="0.31496062992125984"/>
  <pageSetup paperSize="10000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Prin</vt:lpstr>
      <vt:lpstr>Alamat</vt:lpstr>
      <vt:lpstr>Alasan</vt:lpstr>
      <vt:lpstr>Ayah</vt:lpstr>
      <vt:lpstr>BG</vt:lpstr>
      <vt:lpstr>Dari</vt:lpstr>
      <vt:lpstr>Diniyah</vt:lpstr>
      <vt:lpstr>Domisili</vt:lpstr>
      <vt:lpstr>Formal</vt:lpstr>
      <vt:lpstr>Header</vt:lpstr>
      <vt:lpstr>IDS</vt:lpstr>
      <vt:lpstr>Kode</vt:lpstr>
      <vt:lpstr>Lama1</vt:lpstr>
      <vt:lpstr>Lama2</vt:lpstr>
      <vt:lpstr>LTTQ_LTK</vt:lpstr>
      <vt:lpstr>Nama</vt:lpstr>
      <vt:lpstr>NoAyah</vt:lpstr>
      <vt:lpstr>Perpanjang</vt:lpstr>
      <vt:lpstr>Prin!Print_Area</vt:lpstr>
      <vt:lpstr>Sampai</vt:lpstr>
      <vt:lpstr>SuratIjin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Al-Utsmani</dc:creator>
  <cp:lastModifiedBy>Al-Utsmani</cp:lastModifiedBy>
  <cp:lastPrinted>2024-10-30T15:13:50Z</cp:lastPrinted>
  <dcterms:created xsi:type="dcterms:W3CDTF">2024-09-02T00:20:55Z</dcterms:created>
  <dcterms:modified xsi:type="dcterms:W3CDTF">2024-10-30T20:58:00Z</dcterms:modified>
</cp:coreProperties>
</file>