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Buku_Kerja_Ini"/>
  <mc:AlternateContent xmlns:mc="http://schemas.openxmlformats.org/markup-compatibility/2006">
    <mc:Choice Requires="x15">
      <x15ac:absPath xmlns:x15ac="http://schemas.microsoft.com/office/spreadsheetml/2010/11/ac" url="E:\PPSA\1445\App\"/>
    </mc:Choice>
  </mc:AlternateContent>
  <xr:revisionPtr revIDLastSave="0" documentId="13_ncr:1_{D324B5E9-0481-4076-BB54-05CCE3FE3420}" xr6:coauthVersionLast="47" xr6:coauthVersionMax="47" xr10:uidLastSave="{00000000-0000-0000-0000-000000000000}"/>
  <bookViews>
    <workbookView xWindow="-120" yWindow="-120" windowWidth="29040" windowHeight="15990" xr2:uid="{364E4722-42AB-4346-97E9-61AC65184A40}"/>
  </bookViews>
  <sheets>
    <sheet name="Ijin" sheetId="3" r:id="rId1"/>
    <sheet name="Sheet1" sheetId="4" r:id="rId2"/>
  </sheets>
  <functionGroups builtInGroupCount="19"/>
  <externalReferences>
    <externalReference r:id="rId3"/>
  </externalReferences>
  <definedNames>
    <definedName name="Admin">Ijin!$T$2</definedName>
    <definedName name="BG">Ijin!$F$9:$L$9,Ijin!$M$3:$M$40,Ijin!$N$9:$T$9,Ijin!$F$11:$L$32,Ijin!$N$11:$T$32</definedName>
    <definedName name="Desa">[1]Log!$BC$1</definedName>
    <definedName name="Diniyah">[1]Log!$CG$1</definedName>
    <definedName name="Dusun">[1]Log!$AZ$1</definedName>
    <definedName name="EditIjin">Ijin!$N$3:$T$40</definedName>
    <definedName name="Formal">[1]Log!$CJ$1</definedName>
    <definedName name="Header">Ijin!$F$33:$L$40,Ijin!$N$33:$T$40,Ijin!$F$3:$L$8,Ijin!$N$3:$T$8,Ijin!$F$10,Ijin!$N$10</definedName>
    <definedName name="IDS">Ijin!$B$10</definedName>
    <definedName name="LamaHari">[1]Log!$EQ$1</definedName>
    <definedName name="LTQ_LTK">[1]Log!$CM$1</definedName>
    <definedName name="Nama">Ijin!$H$12</definedName>
    <definedName name="NoAyah">[1]Log!$AE$1</definedName>
    <definedName name="NoKamar">[1]Log!$CF$1</definedName>
    <definedName name="Perpanjang">[1]Log!$EO$1</definedName>
    <definedName name="_xlnm.Print_Area" localSheetId="0">Ijin!$F$3:$T$40</definedName>
    <definedName name="RT">[1]Log!$BA$1</definedName>
    <definedName name="RW">[1]Log!$BB$1</definedName>
    <definedName name="SampaiHijriyah">[1]Log!$EM$1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3" l="1"/>
  <c r="O26" i="3"/>
  <c r="S28" i="3"/>
  <c r="O31" i="3"/>
  <c r="N11" i="3"/>
  <c r="G29" i="3"/>
  <c r="O29" i="3"/>
  <c r="P24" i="3"/>
  <c r="P23" i="3"/>
  <c r="P21" i="3"/>
  <c r="S19" i="3"/>
  <c r="S18" i="3"/>
  <c r="P19" i="3"/>
  <c r="P18" i="3"/>
  <c r="P15" i="3"/>
  <c r="P14" i="3"/>
  <c r="P13" i="3"/>
  <c r="P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C99DF7-55A6-4065-9849-D03A31DBB066}" keepAlive="1" name="Kueri - KalenderPendidikan" description="Sambungan ke kueri 'KalenderPendidikan' pada workbook." type="5" refreshedVersion="8" background="1" saveData="1">
    <dbPr connection="Provider=Microsoft.Mashup.OleDb.1;Data Source=$Workbook$;Location=KalenderPendidikan;Extended Properties=&quot;&quot;" command="SELECT * FROM [KalenderPendidikan]"/>
  </connection>
</connections>
</file>

<file path=xl/sharedStrings.xml><?xml version="1.0" encoding="utf-8"?>
<sst xmlns="http://schemas.openxmlformats.org/spreadsheetml/2006/main" count="70" uniqueCount="48">
  <si>
    <t>Nama</t>
  </si>
  <si>
    <t>Alamat</t>
  </si>
  <si>
    <t>Domisili</t>
  </si>
  <si>
    <t>Keterangan</t>
  </si>
  <si>
    <t>.</t>
  </si>
  <si>
    <t>Surat Ijin Pulang</t>
  </si>
  <si>
    <t>No. Telp</t>
  </si>
  <si>
    <t>Alasan</t>
  </si>
  <si>
    <t>Diniyah</t>
  </si>
  <si>
    <t>Dari</t>
  </si>
  <si>
    <t>Sampai</t>
  </si>
  <si>
    <t>TTD</t>
  </si>
  <si>
    <t>1.</t>
  </si>
  <si>
    <t>Semua santri harus menjaga nama baik PPS. Al-Utsmani.</t>
  </si>
  <si>
    <t>2.</t>
  </si>
  <si>
    <t>Sesudah kembali ke PPS. Al-Utsmani, surat ini wajib diserahkan pada kepala daerah</t>
  </si>
  <si>
    <t>3.</t>
  </si>
  <si>
    <t>4.</t>
  </si>
  <si>
    <t xml:space="preserve">Terlambat dari ketentuan tanggal kembali, harus diantar oleh wali / wakil wali untuk </t>
  </si>
  <si>
    <t>mempertanggungjawabkan pada Kepala Daerah</t>
  </si>
  <si>
    <t>pemberitahuan pada Kepala Daerah yang bersangkutan, dianggap berhenti</t>
  </si>
  <si>
    <t>atau boyong atau keluar dari pesantren</t>
  </si>
  <si>
    <t>Terlambat dari ketentuan ijin sampai 15 hari (terhitung dari tanggal kembali) tanpa ada</t>
  </si>
  <si>
    <t>Ali Murtadho Hamid</t>
  </si>
  <si>
    <t>Ayah</t>
  </si>
  <si>
    <t xml:space="preserve">   LTTQ</t>
  </si>
  <si>
    <t xml:space="preserve">   Formal</t>
  </si>
  <si>
    <t xml:space="preserve"> pada Kepala Daerah</t>
  </si>
  <si>
    <t xml:space="preserve">Terlambat dari ketentuan ijin sampai 15 hari (terhitung dari tanggal kembali) tanpa ada pemberitahuan pada </t>
  </si>
  <si>
    <t>Kepala Daerah yang bersangkutan, dianggap berhenti atau boyong atau keluar dari pesantren</t>
  </si>
  <si>
    <t>Terlambat dari ketentuan tanggal kembali, harus diantar oleh wali untuk mempertanggungjawabkan</t>
  </si>
  <si>
    <t>Lama Ijin</t>
  </si>
  <si>
    <t>Sakit</t>
  </si>
  <si>
    <t>No: 1705/Y.AU/A.5.3/0.1445</t>
  </si>
  <si>
    <t>3 Hari</t>
  </si>
  <si>
    <t>Mohammad Amin Hoironi</t>
  </si>
  <si>
    <t>Asus</t>
  </si>
  <si>
    <t>Pakisan 19/4, Pakisan, Tlogosari, Bondowoso</t>
  </si>
  <si>
    <t>C.04</t>
  </si>
  <si>
    <t>Wustha [.3]</t>
  </si>
  <si>
    <t>Smai [X.Ips]</t>
  </si>
  <si>
    <t>Ulya [1.]</t>
  </si>
  <si>
    <t>Beddian, 19 Dzul Hijjah 1445</t>
  </si>
  <si>
    <t>Rabu, 19 Dzul Hijjah 1445 H. / 08 Juli 2023 M.</t>
  </si>
  <si>
    <t>26 juli 2024 M</t>
  </si>
  <si>
    <t>Juma'at, 21 Dzul Hijjah 1445 H. / 10 Juli 2023 M.</t>
  </si>
  <si>
    <t>21 Juli 2024 M</t>
  </si>
  <si>
    <t>Admin Perijinan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</si>
</sst>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@\ * &quot;:&quot;"/>
  </numFmts>
  <fonts count="29" x14ac:knownFonts="1">
    <font>
      <sz val="12"/>
      <color theme="1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823B"/>
      <name val="Arial Black"/>
      <family val="2"/>
    </font>
    <font>
      <b/>
      <sz val="11"/>
      <color theme="1"/>
      <name val="Calibri"/>
      <family val="2"/>
      <scheme val="minor"/>
    </font>
    <font>
      <sz val="8"/>
      <color theme="0"/>
      <name val="Calibri"/>
      <family val="2"/>
      <charset val="1"/>
      <scheme val="minor"/>
    </font>
    <font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 Black"/>
      <family val="2"/>
    </font>
    <font>
      <b/>
      <sz val="9"/>
      <color theme="0" tint="-0.249977111117893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12"/>
      <color theme="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9" tint="0.59999389629810485"/>
      <name val="Calibri"/>
      <family val="2"/>
      <charset val="1"/>
      <scheme val="minor"/>
    </font>
    <font>
      <b/>
      <sz val="12"/>
      <color theme="9" tint="0.59999389629810485"/>
      <name val="Calibri"/>
      <family val="2"/>
      <scheme val="minor"/>
    </font>
    <font>
      <sz val="12"/>
      <color theme="9" tint="0.7999816888943144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E2EFDA"/>
      <name val="Calibri"/>
      <family val="2"/>
      <scheme val="minor"/>
    </font>
    <font>
      <sz val="12"/>
      <color rgb="FFE2EFDA"/>
      <name val="Calibri"/>
      <family val="2"/>
      <charset val="1"/>
      <scheme val="minor"/>
    </font>
    <font>
      <sz val="12"/>
      <color rgb="FFE2EFDA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1"/>
      <scheme val="minor"/>
    </font>
    <font>
      <b/>
      <sz val="11"/>
      <color rgb="FFE2EFDA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/>
      <right/>
      <top style="thick">
        <color rgb="FFFFC000"/>
      </top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/>
      <top/>
      <bottom/>
      <diagonal/>
    </border>
    <border>
      <left/>
      <right style="thick">
        <color rgb="FFFFC000"/>
      </right>
      <top/>
      <bottom/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/>
      <top/>
      <bottom style="thick">
        <color rgb="FFFFC000"/>
      </bottom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 style="thick">
        <color rgb="FFFFC000"/>
      </left>
      <right style="thick">
        <color rgb="FFFFC000"/>
      </right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thin">
        <color rgb="FF00823B"/>
      </left>
      <right/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9" xfId="0" applyFill="1" applyBorder="1"/>
    <xf numFmtId="0" fontId="3" fillId="2" borderId="9" xfId="0" applyFont="1" applyFill="1" applyBorder="1"/>
    <xf numFmtId="164" fontId="4" fillId="2" borderId="0" xfId="0" applyNumberFormat="1" applyFont="1" applyFill="1"/>
    <xf numFmtId="0" fontId="5" fillId="2" borderId="9" xfId="0" applyFont="1" applyFill="1" applyBorder="1"/>
    <xf numFmtId="1" fontId="0" fillId="2" borderId="4" xfId="0" applyNumberFormat="1" applyFill="1" applyBorder="1"/>
    <xf numFmtId="0" fontId="0" fillId="2" borderId="0" xfId="0" applyFill="1" applyAlignment="1">
      <alignment horizontal="center" vertical="center"/>
    </xf>
    <xf numFmtId="1" fontId="0" fillId="2" borderId="0" xfId="0" applyNumberFormat="1" applyFill="1"/>
    <xf numFmtId="0" fontId="0" fillId="2" borderId="9" xfId="0" applyFill="1" applyBorder="1" applyAlignment="1">
      <alignment vertical="top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/>
    <xf numFmtId="0" fontId="13" fillId="2" borderId="0" xfId="0" applyFont="1" applyFill="1"/>
    <xf numFmtId="1" fontId="13" fillId="2" borderId="4" xfId="0" applyNumberFormat="1" applyFont="1" applyFill="1" applyBorder="1"/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center" vertical="center"/>
    </xf>
    <xf numFmtId="164" fontId="4" fillId="2" borderId="15" xfId="0" applyNumberFormat="1" applyFont="1" applyFill="1" applyBorder="1"/>
    <xf numFmtId="1" fontId="13" fillId="2" borderId="0" xfId="0" applyNumberFormat="1" applyFont="1" applyFill="1"/>
    <xf numFmtId="0" fontId="13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1" fontId="14" fillId="2" borderId="9" xfId="0" applyNumberFormat="1" applyFont="1" applyFill="1" applyBorder="1" applyAlignment="1">
      <alignment horizontal="left" vertical="center"/>
    </xf>
    <xf numFmtId="0" fontId="0" fillId="4" borderId="0" xfId="0" applyFill="1"/>
    <xf numFmtId="14" fontId="0" fillId="4" borderId="0" xfId="0" applyNumberFormat="1" applyFill="1"/>
    <xf numFmtId="0" fontId="9" fillId="4" borderId="0" xfId="0" applyFont="1" applyFill="1"/>
    <xf numFmtId="0" fontId="4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/>
    <xf numFmtId="0" fontId="7" fillId="4" borderId="0" xfId="0" applyFont="1" applyFill="1" applyAlignment="1">
      <alignment horizontal="center" vertical="center"/>
    </xf>
    <xf numFmtId="0" fontId="16" fillId="4" borderId="0" xfId="0" applyFont="1" applyFill="1" applyAlignment="1">
      <alignment horizontal="left"/>
    </xf>
    <xf numFmtId="49" fontId="17" fillId="4" borderId="0" xfId="0" applyNumberFormat="1" applyFont="1" applyFill="1"/>
    <xf numFmtId="0" fontId="16" fillId="4" borderId="0" xfId="0" applyFont="1" applyFill="1"/>
    <xf numFmtId="0" fontId="0" fillId="5" borderId="0" xfId="0" applyFill="1"/>
    <xf numFmtId="0" fontId="0" fillId="5" borderId="5" xfId="0" applyFill="1" applyBorder="1"/>
    <xf numFmtId="0" fontId="16" fillId="5" borderId="5" xfId="0" applyFont="1" applyFill="1" applyBorder="1"/>
    <xf numFmtId="164" fontId="27" fillId="2" borderId="5" xfId="0" applyNumberFormat="1" applyFont="1" applyFill="1" applyBorder="1"/>
    <xf numFmtId="164" fontId="28" fillId="2" borderId="5" xfId="0" applyNumberFormat="1" applyFont="1" applyFill="1" applyBorder="1"/>
    <xf numFmtId="0" fontId="1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20" fillId="4" borderId="0" xfId="0" applyFont="1" applyFill="1" applyAlignment="1">
      <alignment horizontal="left" vertical="center"/>
    </xf>
    <xf numFmtId="0" fontId="26" fillId="4" borderId="4" xfId="0" applyFont="1" applyFill="1" applyBorder="1"/>
    <xf numFmtId="0" fontId="25" fillId="4" borderId="0" xfId="0" applyFont="1" applyFill="1" applyAlignment="1">
      <alignment horizontal="left" vertical="center"/>
    </xf>
    <xf numFmtId="0" fontId="26" fillId="4" borderId="0" xfId="0" applyFont="1" applyFill="1" applyAlignment="1">
      <alignment horizontal="left" vertical="center"/>
    </xf>
    <xf numFmtId="0" fontId="0" fillId="4" borderId="4" xfId="0" applyFill="1" applyBorder="1"/>
    <xf numFmtId="0" fontId="1" fillId="4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3" fillId="4" borderId="4" xfId="0" applyFont="1" applyFill="1" applyBorder="1"/>
    <xf numFmtId="0" fontId="22" fillId="4" borderId="0" xfId="0" applyFont="1" applyFill="1" applyAlignment="1">
      <alignment horizontal="left" vertical="center"/>
    </xf>
    <xf numFmtId="0" fontId="23" fillId="4" borderId="0" xfId="0" applyFont="1" applyFill="1" applyAlignment="1">
      <alignment horizontal="left" vertical="center"/>
    </xf>
    <xf numFmtId="14" fontId="23" fillId="4" borderId="0" xfId="0" applyNumberFormat="1" applyFont="1" applyFill="1" applyAlignment="1">
      <alignment horizontal="left" vertical="center"/>
    </xf>
    <xf numFmtId="0" fontId="24" fillId="4" borderId="0" xfId="0" applyFont="1" applyFill="1" applyAlignment="1">
      <alignment horizontal="left" vertical="center"/>
    </xf>
    <xf numFmtId="0" fontId="23" fillId="4" borderId="0" xfId="0" applyFont="1" applyFill="1"/>
    <xf numFmtId="0" fontId="26" fillId="4" borderId="0" xfId="0" applyFont="1" applyFill="1"/>
    <xf numFmtId="0" fontId="19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1" fillId="2" borderId="1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 vertical="top"/>
    </xf>
    <xf numFmtId="0" fontId="4" fillId="2" borderId="0" xfId="0" applyFont="1" applyFill="1" applyAlignment="1">
      <alignment horizontal="center" vertical="top"/>
    </xf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top" wrapText="1"/>
    </xf>
    <xf numFmtId="0" fontId="13" fillId="2" borderId="0" xfId="0" applyFont="1" applyFill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27" fillId="2" borderId="0" xfId="0" applyFont="1" applyFill="1" applyAlignment="1">
      <alignment horizontal="center" vertical="top"/>
    </xf>
    <xf numFmtId="0" fontId="8" fillId="4" borderId="0" xfId="0" applyFont="1" applyFill="1" applyAlignment="1">
      <alignment horizontal="center" vertical="center"/>
    </xf>
    <xf numFmtId="1" fontId="0" fillId="6" borderId="0" xfId="0" applyNumberFormat="1" applyFill="1"/>
    <xf numFmtId="0" fontId="7" fillId="6" borderId="0" xfId="0" applyFont="1" applyFill="1" applyAlignment="1">
      <alignment horizontal="center" vertical="center"/>
    </xf>
    <xf numFmtId="0" fontId="6" fillId="6" borderId="0" xfId="0" applyFont="1" applyFill="1"/>
    <xf numFmtId="0" fontId="6" fillId="6" borderId="0" xfId="0" applyFont="1" applyFill="1" applyAlignment="1">
      <alignment horizontal="center" vertical="center"/>
    </xf>
    <xf numFmtId="1" fontId="6" fillId="6" borderId="0" xfId="0" applyNumberFormat="1" applyFont="1" applyFill="1"/>
    <xf numFmtId="1" fontId="5" fillId="6" borderId="0" xfId="0" quotePrefix="1" applyNumberFormat="1" applyFont="1" applyFill="1" applyAlignment="1">
      <alignment horizontal="right"/>
    </xf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1" fontId="5" fillId="6" borderId="0" xfId="0" applyNumberFormat="1" applyFont="1" applyFill="1" applyAlignment="1">
      <alignment horizontal="right"/>
    </xf>
    <xf numFmtId="1" fontId="5" fillId="6" borderId="7" xfId="0" applyNumberFormat="1" applyFont="1" applyFill="1" applyBorder="1" applyAlignment="1">
      <alignment horizontal="left" vertical="center"/>
    </xf>
    <xf numFmtId="0" fontId="5" fillId="6" borderId="7" xfId="0" applyFont="1" applyFill="1" applyBorder="1"/>
    <xf numFmtId="0" fontId="5" fillId="6" borderId="7" xfId="0" applyFont="1" applyFill="1" applyBorder="1" applyAlignment="1">
      <alignment horizontal="center" vertical="center"/>
    </xf>
    <xf numFmtId="1" fontId="5" fillId="6" borderId="7" xfId="0" applyNumberFormat="1" applyFont="1" applyFill="1" applyBorder="1"/>
    <xf numFmtId="1" fontId="0" fillId="6" borderId="4" xfId="0" applyNumberFormat="1" applyFill="1" applyBorder="1"/>
    <xf numFmtId="0" fontId="6" fillId="6" borderId="5" xfId="0" applyFont="1" applyFill="1" applyBorder="1"/>
    <xf numFmtId="1" fontId="5" fillId="6" borderId="4" xfId="0" quotePrefix="1" applyNumberFormat="1" applyFont="1" applyFill="1" applyBorder="1" applyAlignment="1">
      <alignment horizontal="right"/>
    </xf>
    <xf numFmtId="0" fontId="5" fillId="6" borderId="5" xfId="0" applyFont="1" applyFill="1" applyBorder="1"/>
    <xf numFmtId="1" fontId="5" fillId="6" borderId="4" xfId="0" applyNumberFormat="1" applyFont="1" applyFill="1" applyBorder="1" applyAlignment="1">
      <alignment horizontal="right"/>
    </xf>
    <xf numFmtId="1" fontId="5" fillId="6" borderId="6" xfId="0" applyNumberFormat="1" applyFont="1" applyFill="1" applyBorder="1"/>
    <xf numFmtId="0" fontId="5" fillId="6" borderId="8" xfId="0" applyFont="1" applyFill="1" applyBorder="1"/>
    <xf numFmtId="1" fontId="0" fillId="6" borderId="2" xfId="0" applyNumberFormat="1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/>
    <xf numFmtId="0" fontId="8" fillId="6" borderId="0" xfId="0" applyFont="1" applyFill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00"/>
      <color rgb="FF44546A"/>
      <color rgb="FF000099"/>
      <color rgb="FF003399"/>
      <color rgb="FF000000"/>
      <color rgb="FF0033CC"/>
      <color rgb="FFCD2929"/>
      <color rgb="FF00823B"/>
      <color rgb="FF2F55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145391</xdr:colOff>
      <xdr:row>0</xdr:row>
      <xdr:rowOff>114629</xdr:rowOff>
    </xdr:from>
    <xdr:to>
      <xdr:col>21</xdr:col>
      <xdr:colOff>575869</xdr:colOff>
      <xdr:row>1</xdr:row>
      <xdr:rowOff>85321</xdr:rowOff>
    </xdr:to>
    <xdr:sp macro="[0]!Printer" textlink="">
      <xdr:nvSpPr>
        <xdr:cNvPr id="2678" name="Printer">
          <a:extLst>
            <a:ext uri="{FF2B5EF4-FFF2-40B4-BE49-F238E27FC236}">
              <a16:creationId xmlns:a16="http://schemas.microsoft.com/office/drawing/2014/main" id="{00000000-0008-0000-0200-0000760A0000}"/>
            </a:ext>
          </a:extLst>
        </xdr:cNvPr>
        <xdr:cNvSpPr/>
      </xdr:nvSpPr>
      <xdr:spPr>
        <a:xfrm>
          <a:off x="13701220" y="114629"/>
          <a:ext cx="720710" cy="170717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id-ID" sz="900" b="1"/>
            <a:t>Printer</a:t>
          </a:r>
        </a:p>
      </xdr:txBody>
    </xdr:sp>
    <xdr:clientData fPrintsWithSheet="0"/>
  </xdr:twoCellAnchor>
  <xdr:twoCellAnchor>
    <xdr:from>
      <xdr:col>5</xdr:col>
      <xdr:colOff>219075</xdr:colOff>
      <xdr:row>2</xdr:row>
      <xdr:rowOff>157163</xdr:rowOff>
    </xdr:from>
    <xdr:to>
      <xdr:col>19</xdr:col>
      <xdr:colOff>767048</xdr:colOff>
      <xdr:row>33</xdr:row>
      <xdr:rowOff>59871</xdr:rowOff>
    </xdr:to>
    <xdr:grpSp>
      <xdr:nvGrpSpPr>
        <xdr:cNvPr id="2" name="Logo Surat">
          <a:extLst>
            <a:ext uri="{FF2B5EF4-FFF2-40B4-BE49-F238E27FC236}">
              <a16:creationId xmlns:a16="http://schemas.microsoft.com/office/drawing/2014/main" id="{A39C86C8-4016-54CA-B220-EE94B4154361}"/>
            </a:ext>
          </a:extLst>
        </xdr:cNvPr>
        <xdr:cNvGrpSpPr/>
      </xdr:nvGrpSpPr>
      <xdr:grpSpPr>
        <a:xfrm>
          <a:off x="2527487" y="560575"/>
          <a:ext cx="10790149" cy="6155590"/>
          <a:chOff x="2505075" y="557213"/>
          <a:chExt cx="10844498" cy="6103483"/>
        </a:xfrm>
      </xdr:grpSpPr>
      <xdr:pic>
        <xdr:nvPicPr>
          <xdr:cNvPr id="6" name="Gambar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05075" y="557213"/>
            <a:ext cx="4705013" cy="972446"/>
          </a:xfrm>
          <a:prstGeom prst="rect">
            <a:avLst/>
          </a:prstGeom>
        </xdr:spPr>
      </xdr:pic>
      <xdr:pic>
        <xdr:nvPicPr>
          <xdr:cNvPr id="9" name="Gambar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648700" y="557213"/>
            <a:ext cx="4700873" cy="972446"/>
          </a:xfrm>
          <a:prstGeom prst="rect">
            <a:avLst/>
          </a:prstGeom>
        </xdr:spPr>
      </xdr:pic>
      <xdr:pic>
        <xdr:nvPicPr>
          <xdr:cNvPr id="2935" name="Picture 3">
            <a:extLst>
              <a:ext uri="{FF2B5EF4-FFF2-40B4-BE49-F238E27FC236}">
                <a16:creationId xmlns:a16="http://schemas.microsoft.com/office/drawing/2014/main" id="{00000000-0008-0000-0200-0000770B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43526" y="5320403"/>
            <a:ext cx="1524000" cy="1340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936" name="Picture 3">
            <a:extLst>
              <a:ext uri="{FF2B5EF4-FFF2-40B4-BE49-F238E27FC236}">
                <a16:creationId xmlns:a16="http://schemas.microsoft.com/office/drawing/2014/main" id="{00000000-0008-0000-0200-0000780B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87151" y="5301353"/>
            <a:ext cx="1390650" cy="13402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19</xdr:col>
      <xdr:colOff>265294</xdr:colOff>
      <xdr:row>0</xdr:row>
      <xdr:rowOff>114629</xdr:rowOff>
    </xdr:from>
    <xdr:to>
      <xdr:col>20</xdr:col>
      <xdr:colOff>18376</xdr:colOff>
      <xdr:row>1</xdr:row>
      <xdr:rowOff>85321</xdr:rowOff>
    </xdr:to>
    <xdr:sp macro="[0]!BuatShortcut" textlink="">
      <xdr:nvSpPr>
        <xdr:cNvPr id="3" name="Perbarui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853495" y="114629"/>
          <a:ext cx="720710" cy="170717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id-ID" sz="900" b="1"/>
            <a:t>Shotcut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PSA/1444/PPSA%20V4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santren (2)"/>
      <sheetName val="sys"/>
      <sheetName val="Pesantren"/>
      <sheetName val="Lembar3"/>
      <sheetName val="Ijin"/>
      <sheetName val="Log"/>
      <sheetName val="Lembar1"/>
      <sheetName val="Lembar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X1" t="str">
            <v>Ayah</v>
          </cell>
          <cell r="AE1" t="str">
            <v>NoAyah</v>
          </cell>
          <cell r="AZ1" t="str">
            <v>Dusun</v>
          </cell>
          <cell r="BA1" t="str">
            <v>RT</v>
          </cell>
          <cell r="BB1" t="str">
            <v>RW</v>
          </cell>
          <cell r="BC1" t="str">
            <v>Desa</v>
          </cell>
          <cell r="CF1" t="str">
            <v>NoKamar</v>
          </cell>
          <cell r="CG1" t="str">
            <v>Diniyah</v>
          </cell>
          <cell r="CJ1" t="str">
            <v>Formal</v>
          </cell>
          <cell r="CM1" t="str">
            <v>LTTQ_LTK</v>
          </cell>
          <cell r="EM1" t="str">
            <v>SampaiHijriyah</v>
          </cell>
          <cell r="EO1" t="str">
            <v>Perpanjang</v>
          </cell>
          <cell r="EQ1" t="str">
            <v>LamaHari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51493-BFDF-402D-BBAB-6BC72EE36449}">
  <sheetPr codeName="Lembar3"/>
  <dimension ref="A1:AI41"/>
  <sheetViews>
    <sheetView tabSelected="1" zoomScale="85" zoomScaleNormal="85" zoomScalePageLayoutView="115" workbookViewId="0">
      <pane xSplit="12" ySplit="2" topLeftCell="M3" activePane="bottomRight" state="frozen"/>
      <selection pane="topRight" activeCell="M1" sqref="M1"/>
      <selection pane="bottomLeft" activeCell="A3" sqref="A3"/>
      <selection pane="bottomRight" activeCell="K21" sqref="K21"/>
    </sheetView>
  </sheetViews>
  <sheetFormatPr defaultColWidth="9.625" defaultRowHeight="15.75" x14ac:dyDescent="0.25"/>
  <cols>
    <col min="1" max="1" width="3.75" style="22" customWidth="1"/>
    <col min="2" max="3" width="10.375" style="22" customWidth="1"/>
    <col min="4" max="4" width="2.75" style="22" customWidth="1"/>
    <col min="5" max="5" width="2.75" style="32" customWidth="1"/>
    <col min="6" max="6" width="6.625" style="22" customWidth="1"/>
    <col min="7" max="10" width="9.625" style="22"/>
    <col min="11" max="11" width="11.375" style="22" customWidth="1"/>
    <col min="12" max="12" width="17.125" style="22" customWidth="1"/>
    <col min="13" max="13" width="6.75" style="22" customWidth="1"/>
    <col min="14" max="14" width="6.625" style="22" customWidth="1"/>
    <col min="15" max="19" width="9.625" style="22"/>
    <col min="20" max="20" width="12.625" style="22" customWidth="1"/>
    <col min="21" max="21" width="3.75" style="22" customWidth="1"/>
    <col min="22" max="22" width="118.875" style="37" customWidth="1"/>
    <col min="23" max="23" width="13.125" style="38" customWidth="1"/>
    <col min="24" max="24" width="22.125" style="38" customWidth="1"/>
    <col min="25" max="25" width="21.375" style="38" customWidth="1"/>
    <col min="26" max="26" width="20.25" style="38" customWidth="1"/>
    <col min="27" max="27" width="16.75" style="38" customWidth="1"/>
    <col min="28" max="28" width="16.125" style="38" customWidth="1"/>
    <col min="29" max="29" width="20.75" style="38" customWidth="1"/>
    <col min="30" max="30" width="23.375" style="39" customWidth="1"/>
    <col min="31" max="35" width="9.625" style="22"/>
    <col min="36" max="16384" width="9.625" style="2"/>
  </cols>
  <sheetData>
    <row r="1" spans="1:30" s="2" customFormat="1" ht="15.75" customHeight="1" x14ac:dyDescent="0.25">
      <c r="B1" s="96"/>
      <c r="C1" s="96"/>
      <c r="D1" s="96"/>
      <c r="E1" s="96"/>
      <c r="F1" s="96"/>
      <c r="V1" s="97"/>
      <c r="W1" s="98"/>
      <c r="X1" s="98"/>
      <c r="Y1" s="98"/>
      <c r="Z1" s="98"/>
      <c r="AA1" s="98"/>
      <c r="AB1" s="98"/>
      <c r="AC1" s="98"/>
      <c r="AD1" s="99"/>
    </row>
    <row r="2" spans="1:30" s="2" customFormat="1" ht="15.75" customHeight="1" thickBot="1" x14ac:dyDescent="0.3">
      <c r="B2" s="96"/>
      <c r="C2" s="96"/>
      <c r="D2" s="96"/>
      <c r="E2" s="96"/>
      <c r="F2" s="96"/>
      <c r="T2" s="100" t="s">
        <v>47</v>
      </c>
      <c r="V2" s="97"/>
      <c r="W2" s="98"/>
      <c r="X2" s="98"/>
      <c r="Y2" s="98"/>
      <c r="Z2" s="98"/>
      <c r="AA2" s="98"/>
      <c r="AB2" s="98"/>
      <c r="AC2" s="98"/>
      <c r="AD2" s="99"/>
    </row>
    <row r="3" spans="1:30" ht="15.75" customHeight="1" thickTop="1" x14ac:dyDescent="0.25">
      <c r="A3" s="23"/>
      <c r="E3" s="33"/>
      <c r="F3" s="87"/>
      <c r="G3" s="87"/>
      <c r="H3" s="87"/>
      <c r="I3" s="87"/>
      <c r="J3" s="87"/>
      <c r="K3" s="87"/>
      <c r="L3" s="87"/>
      <c r="M3" s="21">
        <v>1</v>
      </c>
      <c r="N3" s="90"/>
      <c r="O3" s="87"/>
      <c r="P3" s="87"/>
      <c r="Q3" s="87"/>
      <c r="R3" s="87"/>
      <c r="S3" s="87"/>
      <c r="T3" s="91"/>
    </row>
    <row r="4" spans="1:30" ht="15.75" customHeight="1" x14ac:dyDescent="0.25">
      <c r="E4" s="33"/>
      <c r="F4" s="67"/>
      <c r="G4" s="88"/>
      <c r="H4" s="88"/>
      <c r="I4" s="89"/>
      <c r="J4" s="88"/>
      <c r="K4" s="67"/>
      <c r="L4" s="88"/>
      <c r="M4" s="3"/>
      <c r="N4" s="92"/>
      <c r="O4" s="88"/>
      <c r="P4" s="88"/>
      <c r="Q4" s="88"/>
      <c r="R4" s="88"/>
      <c r="S4" s="88"/>
      <c r="T4" s="93"/>
    </row>
    <row r="5" spans="1:30" ht="15.75" customHeight="1" x14ac:dyDescent="0.25">
      <c r="E5" s="33"/>
      <c r="F5" s="67"/>
      <c r="G5" s="88"/>
      <c r="H5" s="88"/>
      <c r="I5" s="89"/>
      <c r="J5" s="88"/>
      <c r="K5" s="67"/>
      <c r="L5" s="88"/>
      <c r="M5" s="3"/>
      <c r="N5" s="92"/>
      <c r="O5" s="88"/>
      <c r="P5" s="88"/>
      <c r="Q5" s="88"/>
      <c r="R5" s="88"/>
      <c r="S5" s="88"/>
      <c r="T5" s="93"/>
    </row>
    <row r="6" spans="1:30" ht="15.75" customHeight="1" x14ac:dyDescent="0.25">
      <c r="E6" s="33"/>
      <c r="F6" s="67"/>
      <c r="G6" s="88"/>
      <c r="H6" s="88"/>
      <c r="I6" s="89"/>
      <c r="J6" s="88"/>
      <c r="K6" s="67"/>
      <c r="L6" s="88"/>
      <c r="M6" s="3"/>
      <c r="N6" s="92"/>
      <c r="O6" s="88"/>
      <c r="P6" s="88"/>
      <c r="Q6" s="88"/>
      <c r="R6" s="88"/>
      <c r="S6" s="88"/>
      <c r="T6" s="88"/>
      <c r="U6" s="40"/>
      <c r="V6" s="41"/>
      <c r="W6" s="42"/>
      <c r="X6" s="42"/>
      <c r="Y6" s="42"/>
      <c r="Z6" s="42"/>
      <c r="AA6" s="42"/>
      <c r="AB6" s="42"/>
      <c r="AC6" s="42"/>
    </row>
    <row r="7" spans="1:30" ht="15.75" customHeight="1" x14ac:dyDescent="0.25">
      <c r="E7" s="33"/>
      <c r="F7" s="67"/>
      <c r="G7" s="88"/>
      <c r="H7" s="88"/>
      <c r="I7" s="89"/>
      <c r="J7" s="88"/>
      <c r="K7" s="67"/>
      <c r="L7" s="88"/>
      <c r="M7" s="3"/>
      <c r="N7" s="92"/>
      <c r="O7" s="88"/>
      <c r="P7" s="88"/>
      <c r="Q7" s="88"/>
      <c r="R7" s="88"/>
      <c r="S7" s="88"/>
      <c r="T7" s="88"/>
      <c r="U7" s="43"/>
    </row>
    <row r="8" spans="1:30" ht="15.75" customHeight="1" x14ac:dyDescent="0.25">
      <c r="E8" s="33"/>
      <c r="F8" s="67"/>
      <c r="G8" s="88"/>
      <c r="H8" s="88"/>
      <c r="I8" s="89"/>
      <c r="J8" s="88"/>
      <c r="K8" s="67"/>
      <c r="L8" s="88"/>
      <c r="M8" s="3"/>
      <c r="N8" s="92"/>
      <c r="O8" s="88"/>
      <c r="P8" s="88"/>
      <c r="Q8" s="88"/>
      <c r="R8" s="88"/>
      <c r="S8" s="88"/>
      <c r="T8" s="88"/>
      <c r="U8" s="43"/>
    </row>
    <row r="9" spans="1:30" ht="15.75" customHeight="1" x14ac:dyDescent="0.25">
      <c r="B9" s="24"/>
      <c r="C9" s="24"/>
      <c r="E9" s="33"/>
      <c r="F9" s="9"/>
      <c r="G9" s="1"/>
      <c r="H9" s="1"/>
      <c r="I9" s="8"/>
      <c r="J9" s="1"/>
      <c r="K9" s="9"/>
      <c r="L9" s="1"/>
      <c r="M9" s="3"/>
      <c r="N9" s="7"/>
      <c r="O9" s="1"/>
      <c r="P9" s="1"/>
      <c r="Q9" s="8"/>
      <c r="R9" s="1"/>
      <c r="S9" s="9"/>
      <c r="T9" s="1"/>
      <c r="U9" s="43"/>
    </row>
    <row r="10" spans="1:30" ht="15.75" customHeight="1" x14ac:dyDescent="0.4">
      <c r="B10" s="11">
        <v>1430411</v>
      </c>
      <c r="C10" s="25"/>
      <c r="E10" s="33"/>
      <c r="F10" s="94" t="s">
        <v>5</v>
      </c>
      <c r="G10" s="66"/>
      <c r="H10" s="66"/>
      <c r="I10" s="66"/>
      <c r="J10" s="66"/>
      <c r="K10" s="66"/>
      <c r="L10" s="66"/>
      <c r="M10" s="4"/>
      <c r="N10" s="95" t="s">
        <v>5</v>
      </c>
      <c r="O10" s="66"/>
      <c r="P10" s="66"/>
      <c r="Q10" s="66"/>
      <c r="R10" s="66"/>
      <c r="S10" s="66"/>
      <c r="T10" s="66"/>
      <c r="U10" s="43"/>
      <c r="V10" s="44"/>
      <c r="W10" s="44"/>
      <c r="X10" s="44"/>
      <c r="Y10" s="44"/>
      <c r="Z10" s="44"/>
      <c r="AA10" s="44"/>
      <c r="AB10" s="44"/>
      <c r="AC10" s="44"/>
      <c r="AD10" s="45"/>
    </row>
    <row r="11" spans="1:30" ht="15.75" customHeight="1" x14ac:dyDescent="0.25">
      <c r="B11" s="26"/>
      <c r="C11" s="26"/>
      <c r="E11" s="33"/>
      <c r="F11" s="57" t="s">
        <v>33</v>
      </c>
      <c r="G11" s="57"/>
      <c r="H11" s="57"/>
      <c r="I11" s="57"/>
      <c r="J11" s="57"/>
      <c r="K11" s="57"/>
      <c r="L11" s="57"/>
      <c r="M11" s="10"/>
      <c r="N11" s="56" t="str">
        <f>F11</f>
        <v>No: 1705/Y.AU/A.5.3/0.1445</v>
      </c>
      <c r="O11" s="57"/>
      <c r="P11" s="57"/>
      <c r="Q11" s="57"/>
      <c r="R11" s="57"/>
      <c r="S11" s="57"/>
      <c r="T11" s="65"/>
      <c r="U11" s="46"/>
      <c r="V11" s="47"/>
      <c r="W11" s="48"/>
      <c r="X11" s="48"/>
      <c r="Y11" s="48"/>
      <c r="Z11" s="48"/>
      <c r="AA11" s="49"/>
      <c r="AB11" s="49"/>
      <c r="AC11" s="49"/>
      <c r="AD11" s="50"/>
    </row>
    <row r="12" spans="1:30" ht="15.75" customHeight="1" x14ac:dyDescent="0.25">
      <c r="E12" s="33"/>
      <c r="F12" s="18"/>
      <c r="G12" s="5" t="s">
        <v>0</v>
      </c>
      <c r="H12" s="63" t="s">
        <v>35</v>
      </c>
      <c r="I12" s="63"/>
      <c r="J12" s="63"/>
      <c r="K12" s="63"/>
      <c r="L12" s="5"/>
      <c r="M12" s="3"/>
      <c r="N12" s="14"/>
      <c r="O12" s="5" t="s">
        <v>0</v>
      </c>
      <c r="P12" s="63" t="str">
        <f>H12</f>
        <v>Mohammad Amin Hoironi</v>
      </c>
      <c r="Q12" s="63"/>
      <c r="R12" s="63"/>
      <c r="S12" s="63"/>
      <c r="T12" s="35"/>
      <c r="U12" s="51"/>
      <c r="V12" s="47"/>
      <c r="W12" s="48"/>
      <c r="X12" s="48"/>
      <c r="Y12" s="48"/>
      <c r="Z12" s="48"/>
      <c r="AA12" s="49"/>
      <c r="AB12" s="49"/>
      <c r="AC12" s="48"/>
      <c r="AD12" s="50"/>
    </row>
    <row r="13" spans="1:30" ht="15.75" customHeight="1" x14ac:dyDescent="0.25">
      <c r="E13" s="33"/>
      <c r="F13" s="18"/>
      <c r="G13" s="5" t="s">
        <v>24</v>
      </c>
      <c r="H13" s="63" t="s">
        <v>36</v>
      </c>
      <c r="I13" s="63"/>
      <c r="J13" s="63"/>
      <c r="K13" s="63"/>
      <c r="L13" s="5"/>
      <c r="M13" s="3"/>
      <c r="N13" s="14"/>
      <c r="O13" s="5" t="s">
        <v>24</v>
      </c>
      <c r="P13" s="63" t="str">
        <f>H13</f>
        <v>Asus</v>
      </c>
      <c r="Q13" s="63"/>
      <c r="R13" s="63"/>
      <c r="S13" s="63"/>
      <c r="T13" s="35"/>
      <c r="U13" s="51"/>
      <c r="V13" s="47"/>
      <c r="W13" s="48"/>
      <c r="X13" s="48"/>
      <c r="Y13" s="48"/>
      <c r="Z13" s="48"/>
      <c r="AA13" s="48"/>
      <c r="AB13" s="48"/>
      <c r="AC13" s="48"/>
      <c r="AD13" s="50"/>
    </row>
    <row r="14" spans="1:30" ht="15.75" customHeight="1" x14ac:dyDescent="0.25">
      <c r="E14" s="33"/>
      <c r="F14" s="18"/>
      <c r="G14" s="5" t="s">
        <v>6</v>
      </c>
      <c r="H14" s="63">
        <v>0</v>
      </c>
      <c r="I14" s="63"/>
      <c r="J14" s="63"/>
      <c r="K14" s="63"/>
      <c r="L14" s="5"/>
      <c r="M14" s="3"/>
      <c r="N14" s="14"/>
      <c r="O14" s="5" t="s">
        <v>6</v>
      </c>
      <c r="P14" s="63">
        <f>H14</f>
        <v>0</v>
      </c>
      <c r="Q14" s="63"/>
      <c r="R14" s="63"/>
      <c r="S14" s="63"/>
      <c r="T14" s="35"/>
      <c r="U14" s="51"/>
      <c r="V14" s="47"/>
      <c r="W14" s="48"/>
      <c r="X14" s="48"/>
      <c r="Y14" s="48"/>
      <c r="Z14" s="48"/>
      <c r="AA14" s="49"/>
      <c r="AB14" s="49"/>
      <c r="AC14" s="48"/>
      <c r="AD14" s="50"/>
    </row>
    <row r="15" spans="1:30" ht="15.75" customHeight="1" x14ac:dyDescent="0.25">
      <c r="E15" s="33"/>
      <c r="F15" s="18"/>
      <c r="G15" s="5" t="s">
        <v>1</v>
      </c>
      <c r="H15" s="62" t="s">
        <v>37</v>
      </c>
      <c r="I15" s="62"/>
      <c r="J15" s="62"/>
      <c r="K15" s="62"/>
      <c r="L15" s="5"/>
      <c r="M15" s="3"/>
      <c r="N15" s="14"/>
      <c r="O15" s="5" t="s">
        <v>1</v>
      </c>
      <c r="P15" s="62" t="str">
        <f>H15</f>
        <v>Pakisan 19/4, Pakisan, Tlogosari, Bondowoso</v>
      </c>
      <c r="Q15" s="62"/>
      <c r="R15" s="62"/>
      <c r="S15" s="62"/>
      <c r="T15" s="35"/>
      <c r="U15" s="51"/>
      <c r="V15" s="47"/>
      <c r="W15" s="48"/>
      <c r="X15" s="48"/>
      <c r="Y15" s="48"/>
      <c r="Z15" s="48"/>
      <c r="AA15" s="48"/>
      <c r="AB15" s="48"/>
      <c r="AC15" s="48"/>
      <c r="AD15" s="50"/>
    </row>
    <row r="16" spans="1:30" ht="15.75" customHeight="1" x14ac:dyDescent="0.25">
      <c r="A16" s="27"/>
      <c r="E16" s="33"/>
      <c r="F16" s="18"/>
      <c r="G16" s="5"/>
      <c r="H16" s="62"/>
      <c r="I16" s="62"/>
      <c r="J16" s="62"/>
      <c r="K16" s="62"/>
      <c r="L16" s="5"/>
      <c r="M16" s="3"/>
      <c r="N16" s="14"/>
      <c r="O16" s="5"/>
      <c r="P16" s="62"/>
      <c r="Q16" s="62"/>
      <c r="R16" s="62"/>
      <c r="S16" s="62"/>
      <c r="T16" s="35"/>
      <c r="U16" s="51"/>
      <c r="V16" s="47"/>
      <c r="W16" s="48"/>
      <c r="X16" s="48"/>
      <c r="Y16" s="48"/>
      <c r="Z16" s="48"/>
      <c r="AA16" s="48"/>
      <c r="AB16" s="48"/>
      <c r="AC16" s="48"/>
      <c r="AD16" s="50"/>
    </row>
    <row r="17" spans="1:30" ht="15.75" customHeight="1" x14ac:dyDescent="0.25">
      <c r="A17" s="27"/>
      <c r="E17" s="33"/>
      <c r="F17" s="18"/>
      <c r="G17" s="5"/>
      <c r="H17" s="13"/>
      <c r="I17" s="13"/>
      <c r="J17" s="13"/>
      <c r="K17" s="13"/>
      <c r="L17" s="13"/>
      <c r="M17" s="3"/>
      <c r="N17" s="14"/>
      <c r="O17" s="5"/>
      <c r="P17" s="13"/>
      <c r="Q17" s="13"/>
      <c r="R17" s="13"/>
      <c r="S17" s="13"/>
      <c r="T17" s="35"/>
      <c r="U17" s="51"/>
      <c r="V17" s="47"/>
      <c r="W17" s="48"/>
      <c r="X17" s="48"/>
      <c r="Y17" s="48"/>
      <c r="Z17" s="48"/>
      <c r="AA17" s="48"/>
      <c r="AB17" s="48"/>
      <c r="AC17" s="48"/>
      <c r="AD17" s="50"/>
    </row>
    <row r="18" spans="1:30" ht="15.75" customHeight="1" x14ac:dyDescent="0.25">
      <c r="A18" s="27"/>
      <c r="E18" s="33"/>
      <c r="F18" s="18"/>
      <c r="G18" s="5" t="s">
        <v>2</v>
      </c>
      <c r="H18" s="15" t="s">
        <v>38</v>
      </c>
      <c r="I18" s="16"/>
      <c r="J18" s="17" t="s">
        <v>25</v>
      </c>
      <c r="K18" s="18" t="s">
        <v>39</v>
      </c>
      <c r="L18" s="5"/>
      <c r="M18" s="3" t="s">
        <v>4</v>
      </c>
      <c r="N18" s="14"/>
      <c r="O18" s="5" t="s">
        <v>2</v>
      </c>
      <c r="P18" s="15" t="str">
        <f>H18</f>
        <v>C.04</v>
      </c>
      <c r="Q18" s="16"/>
      <c r="R18" s="17" t="s">
        <v>25</v>
      </c>
      <c r="S18" s="18" t="str">
        <f>K18</f>
        <v>Wustha [.3]</v>
      </c>
      <c r="T18" s="35"/>
      <c r="U18" s="51"/>
      <c r="V18" s="47"/>
      <c r="W18" s="48"/>
      <c r="X18" s="48"/>
      <c r="Y18" s="48"/>
      <c r="Z18" s="48"/>
      <c r="AA18" s="48"/>
      <c r="AB18" s="48"/>
      <c r="AC18" s="48"/>
      <c r="AD18" s="50"/>
    </row>
    <row r="19" spans="1:30" ht="15.75" customHeight="1" x14ac:dyDescent="0.25">
      <c r="A19" s="27"/>
      <c r="E19" s="33"/>
      <c r="F19" s="18"/>
      <c r="G19" s="5" t="s">
        <v>8</v>
      </c>
      <c r="H19" s="19" t="s">
        <v>41</v>
      </c>
      <c r="I19" s="19"/>
      <c r="J19" s="17" t="s">
        <v>26</v>
      </c>
      <c r="K19" s="18" t="s">
        <v>40</v>
      </c>
      <c r="L19" s="5"/>
      <c r="M19" s="3" t="s">
        <v>4</v>
      </c>
      <c r="N19" s="14"/>
      <c r="O19" s="5" t="s">
        <v>8</v>
      </c>
      <c r="P19" s="19" t="str">
        <f>H19</f>
        <v>Ulya [1.]</v>
      </c>
      <c r="Q19" s="19"/>
      <c r="R19" s="17" t="s">
        <v>26</v>
      </c>
      <c r="S19" s="18" t="str">
        <f>K19</f>
        <v>Smai [X.Ips]</v>
      </c>
      <c r="T19" s="36"/>
      <c r="U19" s="52"/>
      <c r="V19" s="41"/>
      <c r="W19" s="42"/>
      <c r="X19" s="42"/>
      <c r="Y19" s="42"/>
      <c r="Z19" s="42"/>
      <c r="AA19" s="42"/>
      <c r="AB19" s="42"/>
      <c r="AC19" s="48"/>
      <c r="AD19" s="50"/>
    </row>
    <row r="20" spans="1:30" ht="15.75" customHeight="1" x14ac:dyDescent="0.25">
      <c r="A20" s="27"/>
      <c r="E20" s="33"/>
      <c r="F20" s="18"/>
      <c r="G20" s="5"/>
      <c r="H20" s="13"/>
      <c r="I20" s="16"/>
      <c r="J20" s="13"/>
      <c r="K20" s="18"/>
      <c r="L20" s="5"/>
      <c r="M20" s="3"/>
      <c r="N20" s="14"/>
      <c r="O20" s="5"/>
      <c r="P20" s="13"/>
      <c r="Q20" s="16"/>
      <c r="R20" s="13"/>
      <c r="S20" s="18"/>
      <c r="T20" s="35"/>
      <c r="U20" s="51"/>
      <c r="V20" s="47"/>
      <c r="W20" s="48"/>
      <c r="X20" s="48"/>
      <c r="Y20" s="48"/>
      <c r="Z20" s="48"/>
      <c r="AA20" s="48"/>
      <c r="AB20" s="48"/>
      <c r="AC20" s="48"/>
      <c r="AD20" s="50"/>
    </row>
    <row r="21" spans="1:30" ht="15.75" customHeight="1" x14ac:dyDescent="0.25">
      <c r="A21" s="27"/>
      <c r="E21" s="33"/>
      <c r="F21" s="18"/>
      <c r="G21" s="5" t="s">
        <v>7</v>
      </c>
      <c r="H21" s="13" t="s">
        <v>32</v>
      </c>
      <c r="I21" s="13"/>
      <c r="J21" s="13"/>
      <c r="K21" s="18"/>
      <c r="L21" s="5"/>
      <c r="M21" s="3"/>
      <c r="N21" s="14"/>
      <c r="O21" s="5" t="s">
        <v>7</v>
      </c>
      <c r="P21" s="13" t="str">
        <f>H21</f>
        <v>Sakit</v>
      </c>
      <c r="Q21" s="13"/>
      <c r="R21" s="13"/>
      <c r="S21" s="18"/>
      <c r="T21" s="35"/>
      <c r="U21" s="51"/>
      <c r="V21" s="47"/>
      <c r="W21" s="48"/>
      <c r="X21" s="48"/>
      <c r="Y21" s="48"/>
      <c r="Z21" s="48"/>
      <c r="AA21" s="48"/>
      <c r="AB21" s="48"/>
      <c r="AC21" s="48"/>
      <c r="AD21" s="50"/>
    </row>
    <row r="22" spans="1:30" ht="15.75" customHeight="1" x14ac:dyDescent="0.25">
      <c r="B22" s="28"/>
      <c r="C22" s="28"/>
      <c r="E22" s="33"/>
      <c r="F22" s="18"/>
      <c r="G22" s="5"/>
      <c r="H22" s="13"/>
      <c r="I22" s="13"/>
      <c r="J22" s="13"/>
      <c r="K22" s="18"/>
      <c r="L22" s="5"/>
      <c r="M22" s="3"/>
      <c r="N22" s="14"/>
      <c r="O22" s="5"/>
      <c r="P22" s="13"/>
      <c r="Q22" s="13"/>
      <c r="R22" s="13"/>
      <c r="S22" s="18"/>
      <c r="T22" s="35"/>
      <c r="U22" s="51"/>
      <c r="V22" s="47"/>
      <c r="W22" s="48"/>
      <c r="X22" s="48"/>
      <c r="Y22" s="48"/>
      <c r="Z22" s="48"/>
      <c r="AA22" s="48"/>
      <c r="AB22" s="48"/>
      <c r="AC22" s="48"/>
      <c r="AD22" s="50"/>
    </row>
    <row r="23" spans="1:30" ht="15.75" customHeight="1" x14ac:dyDescent="0.25">
      <c r="A23" s="29"/>
      <c r="B23" s="30"/>
      <c r="C23" s="30"/>
      <c r="D23" s="31"/>
      <c r="E23" s="34"/>
      <c r="F23" s="18"/>
      <c r="G23" s="5" t="s">
        <v>9</v>
      </c>
      <c r="H23" s="20" t="s">
        <v>43</v>
      </c>
      <c r="I23" s="13"/>
      <c r="J23" s="13" t="s">
        <v>44</v>
      </c>
      <c r="K23" s="18"/>
      <c r="L23" s="5"/>
      <c r="M23" s="3"/>
      <c r="N23" s="14"/>
      <c r="O23" s="5" t="s">
        <v>9</v>
      </c>
      <c r="P23" s="20" t="str">
        <f>H23</f>
        <v>Rabu, 19 Dzul Hijjah 1445 H. / 08 Juli 2023 M.</v>
      </c>
      <c r="Q23" s="13"/>
      <c r="R23" s="13"/>
      <c r="S23" s="18"/>
      <c r="T23" s="35"/>
      <c r="U23" s="51"/>
      <c r="V23" s="47"/>
      <c r="W23" s="48"/>
      <c r="X23" s="48"/>
      <c r="Y23" s="48"/>
      <c r="Z23" s="48"/>
      <c r="AA23" s="48"/>
      <c r="AB23" s="48"/>
      <c r="AC23" s="48"/>
      <c r="AD23" s="50"/>
    </row>
    <row r="24" spans="1:30" ht="15.75" customHeight="1" x14ac:dyDescent="0.25">
      <c r="A24" s="29"/>
      <c r="B24" s="30"/>
      <c r="C24" s="30"/>
      <c r="D24" s="31"/>
      <c r="E24" s="34"/>
      <c r="F24" s="18"/>
      <c r="G24" s="5" t="s">
        <v>10</v>
      </c>
      <c r="H24" s="20" t="s">
        <v>45</v>
      </c>
      <c r="I24" s="16"/>
      <c r="J24" s="13" t="s">
        <v>46</v>
      </c>
      <c r="K24" s="18"/>
      <c r="L24" s="5"/>
      <c r="M24" s="3"/>
      <c r="N24" s="14"/>
      <c r="O24" s="5" t="s">
        <v>10</v>
      </c>
      <c r="P24" s="20" t="str">
        <f>H24</f>
        <v>Juma'at, 21 Dzul Hijjah 1445 H. / 10 Juli 2023 M.</v>
      </c>
      <c r="Q24" s="16"/>
      <c r="R24" s="13"/>
      <c r="S24" s="18"/>
      <c r="T24" s="35"/>
      <c r="U24" s="51"/>
      <c r="V24" s="47"/>
      <c r="W24" s="48"/>
      <c r="X24" s="48"/>
      <c r="Y24" s="48"/>
      <c r="Z24" s="48"/>
      <c r="AA24" s="48"/>
      <c r="AB24" s="48"/>
      <c r="AC24" s="48"/>
      <c r="AD24" s="50"/>
    </row>
    <row r="25" spans="1:30" ht="15.75" customHeight="1" x14ac:dyDescent="0.25">
      <c r="A25" s="31"/>
      <c r="B25" s="30"/>
      <c r="C25" s="30"/>
      <c r="D25" s="31"/>
      <c r="E25" s="34"/>
      <c r="F25" s="18"/>
      <c r="G25" s="12"/>
      <c r="H25" s="64"/>
      <c r="I25" s="16"/>
      <c r="J25" s="13"/>
      <c r="K25" s="18"/>
      <c r="L25" s="5"/>
      <c r="M25" s="3"/>
      <c r="N25" s="14"/>
      <c r="O25" s="12"/>
      <c r="P25" s="20"/>
      <c r="Q25" s="16"/>
      <c r="R25" s="13"/>
      <c r="S25" s="18"/>
      <c r="T25" s="35"/>
      <c r="U25" s="51"/>
      <c r="V25" s="47"/>
      <c r="W25" s="48"/>
      <c r="X25" s="48"/>
      <c r="Y25" s="48"/>
      <c r="Z25" s="48"/>
      <c r="AA25" s="48"/>
      <c r="AB25" s="48"/>
      <c r="AC25" s="48"/>
      <c r="AD25" s="50"/>
    </row>
    <row r="26" spans="1:30" ht="15.75" customHeight="1" x14ac:dyDescent="0.25">
      <c r="E26" s="33"/>
      <c r="F26" s="18"/>
      <c r="G26" s="5" t="s">
        <v>31</v>
      </c>
      <c r="H26" s="13" t="s">
        <v>34</v>
      </c>
      <c r="I26" s="16"/>
      <c r="J26" s="13"/>
      <c r="K26" s="18"/>
      <c r="L26" s="5"/>
      <c r="M26" s="3"/>
      <c r="N26" s="14"/>
      <c r="O26" s="5" t="str">
        <f>G26</f>
        <v>Lama Ijin</v>
      </c>
      <c r="P26" s="13" t="str">
        <f>H26</f>
        <v>3 Hari</v>
      </c>
      <c r="Q26" s="16"/>
      <c r="R26" s="13"/>
      <c r="S26" s="18"/>
      <c r="T26" s="35"/>
      <c r="U26" s="51"/>
      <c r="V26" s="47"/>
      <c r="W26" s="48"/>
      <c r="X26" s="48"/>
      <c r="Y26" s="48"/>
      <c r="Z26" s="48"/>
      <c r="AA26" s="48"/>
      <c r="AB26" s="48"/>
      <c r="AC26" s="48"/>
      <c r="AD26" s="50"/>
    </row>
    <row r="27" spans="1:30" ht="15.75" customHeight="1" x14ac:dyDescent="0.25">
      <c r="E27" s="33"/>
      <c r="F27" s="18"/>
      <c r="G27" s="5"/>
      <c r="H27" s="13"/>
      <c r="I27" s="16"/>
      <c r="J27" s="13"/>
      <c r="K27" s="13"/>
      <c r="L27" s="5"/>
      <c r="M27" s="3"/>
      <c r="N27" s="14"/>
      <c r="O27" s="5"/>
      <c r="P27" s="13"/>
      <c r="Q27" s="16"/>
      <c r="R27" s="13"/>
      <c r="S27" s="13"/>
      <c r="T27" s="35"/>
      <c r="U27" s="51"/>
      <c r="V27" s="47"/>
      <c r="W27" s="48"/>
      <c r="X27" s="48"/>
      <c r="Y27" s="48"/>
      <c r="Z27" s="48"/>
      <c r="AA27" s="48"/>
      <c r="AB27" s="48"/>
      <c r="AC27" s="48"/>
      <c r="AD27" s="50"/>
    </row>
    <row r="28" spans="1:30" ht="15.75" customHeight="1" x14ac:dyDescent="0.25">
      <c r="E28" s="33"/>
      <c r="F28" s="18"/>
      <c r="G28" s="13"/>
      <c r="H28" s="13"/>
      <c r="I28" s="16"/>
      <c r="J28" s="13"/>
      <c r="K28" s="16" t="s">
        <v>42</v>
      </c>
      <c r="L28" s="13"/>
      <c r="M28" s="3"/>
      <c r="N28" s="14"/>
      <c r="O28" s="13"/>
      <c r="P28" s="13"/>
      <c r="Q28" s="16"/>
      <c r="R28" s="13"/>
      <c r="S28" s="16" t="str">
        <f>K28</f>
        <v>Beddian, 19 Dzul Hijjah 1445</v>
      </c>
      <c r="T28" s="35"/>
      <c r="U28" s="51"/>
      <c r="V28" s="47"/>
      <c r="W28" s="48"/>
      <c r="X28" s="48"/>
      <c r="Y28" s="48"/>
      <c r="Z28" s="48"/>
      <c r="AA28" s="48"/>
      <c r="AB28" s="48"/>
      <c r="AC28" s="48"/>
      <c r="AD28" s="50"/>
    </row>
    <row r="29" spans="1:30" ht="15.75" customHeight="1" x14ac:dyDescent="0.25">
      <c r="E29" s="33"/>
      <c r="F29" s="9"/>
      <c r="G29" s="58" t="str">
        <f>IF(M3=1,"Santri","Formal")</f>
        <v>Santri</v>
      </c>
      <c r="H29" s="59"/>
      <c r="I29" s="8"/>
      <c r="J29" s="1"/>
      <c r="K29" s="11" t="s">
        <v>11</v>
      </c>
      <c r="L29" s="1"/>
      <c r="M29" s="3"/>
      <c r="N29" s="7"/>
      <c r="O29" s="58" t="str">
        <f>IF(M3=1,"Diniyah","LTTQ")</f>
        <v>Diniyah</v>
      </c>
      <c r="P29" s="59"/>
      <c r="Q29" s="8"/>
      <c r="R29" s="1"/>
      <c r="S29" s="11" t="s">
        <v>11</v>
      </c>
      <c r="T29" s="35"/>
      <c r="U29" s="51"/>
      <c r="V29" s="47"/>
      <c r="W29" s="48"/>
      <c r="X29" s="48"/>
      <c r="Y29" s="48"/>
      <c r="Z29" s="48"/>
      <c r="AA29" s="48"/>
      <c r="AB29" s="48"/>
      <c r="AC29" s="48"/>
      <c r="AD29" s="50"/>
    </row>
    <row r="30" spans="1:30" ht="15.75" customHeight="1" x14ac:dyDescent="0.25">
      <c r="E30" s="33"/>
      <c r="F30" s="9"/>
      <c r="G30" s="60"/>
      <c r="H30" s="61"/>
      <c r="I30" s="8"/>
      <c r="J30" s="1"/>
      <c r="K30" s="11"/>
      <c r="L30" s="1"/>
      <c r="M30" s="3"/>
      <c r="N30" s="7"/>
      <c r="O30" s="60"/>
      <c r="P30" s="61"/>
      <c r="Q30" s="8"/>
      <c r="R30" s="1"/>
      <c r="S30" s="11"/>
      <c r="T30" s="35"/>
      <c r="U30" s="51"/>
      <c r="V30" s="47"/>
      <c r="W30" s="48"/>
      <c r="X30" s="48"/>
      <c r="Y30" s="48"/>
      <c r="Z30" s="48"/>
      <c r="AA30" s="48"/>
      <c r="AB30" s="48"/>
      <c r="AC30" s="48"/>
      <c r="AD30" s="50"/>
    </row>
    <row r="31" spans="1:30" ht="15.75" customHeight="1" x14ac:dyDescent="0.25">
      <c r="E31" s="33"/>
      <c r="F31" s="9"/>
      <c r="G31" s="55">
        <v>1430491</v>
      </c>
      <c r="H31" s="55"/>
      <c r="I31" s="8"/>
      <c r="J31" s="1"/>
      <c r="K31" s="1"/>
      <c r="L31" s="1"/>
      <c r="M31" s="3"/>
      <c r="N31" s="7"/>
      <c r="O31" s="55">
        <f>G31</f>
        <v>1430491</v>
      </c>
      <c r="P31" s="55"/>
      <c r="Q31" s="8"/>
      <c r="R31" s="1"/>
      <c r="S31" s="11"/>
      <c r="T31" s="35"/>
      <c r="U31" s="51"/>
      <c r="V31" s="47"/>
      <c r="W31" s="48"/>
      <c r="X31" s="48"/>
      <c r="Y31" s="48"/>
      <c r="Z31" s="48"/>
      <c r="AA31" s="48"/>
      <c r="AB31" s="48"/>
      <c r="AC31" s="48"/>
      <c r="AD31" s="50"/>
    </row>
    <row r="32" spans="1:30" ht="15.75" customHeight="1" x14ac:dyDescent="0.25">
      <c r="E32" s="33"/>
      <c r="F32" s="9"/>
      <c r="G32" s="1"/>
      <c r="H32" s="1"/>
      <c r="I32" s="8"/>
      <c r="J32" s="1"/>
      <c r="K32" s="11" t="s">
        <v>23</v>
      </c>
      <c r="L32" s="1"/>
      <c r="M32" s="3"/>
      <c r="N32" s="7"/>
      <c r="O32" s="1"/>
      <c r="P32" s="1"/>
      <c r="Q32" s="8"/>
      <c r="R32" s="1"/>
      <c r="S32" s="11" t="s">
        <v>23</v>
      </c>
      <c r="T32" s="35"/>
      <c r="U32" s="51"/>
      <c r="V32" s="47"/>
      <c r="W32" s="48"/>
      <c r="X32" s="48"/>
      <c r="Y32" s="48"/>
      <c r="Z32" s="48"/>
      <c r="AA32" s="48"/>
      <c r="AB32" s="48"/>
      <c r="AC32" s="48"/>
      <c r="AD32" s="50"/>
    </row>
    <row r="33" spans="5:25" x14ac:dyDescent="0.25">
      <c r="E33" s="33"/>
      <c r="F33" s="67"/>
      <c r="G33" s="68" t="s">
        <v>3</v>
      </c>
      <c r="H33" s="69"/>
      <c r="I33" s="70"/>
      <c r="J33" s="69"/>
      <c r="K33" s="71"/>
      <c r="L33" s="69"/>
      <c r="M33" s="3"/>
      <c r="N33" s="80"/>
      <c r="O33" s="68" t="s">
        <v>3</v>
      </c>
      <c r="P33" s="69"/>
      <c r="Q33" s="70"/>
      <c r="R33" s="69"/>
      <c r="S33" s="71"/>
      <c r="T33" s="81"/>
      <c r="V33" s="53"/>
      <c r="W33" s="54"/>
      <c r="X33" s="54"/>
      <c r="Y33" s="54"/>
    </row>
    <row r="34" spans="5:25" ht="9.9499999999999993" customHeight="1" x14ac:dyDescent="0.25">
      <c r="E34" s="33"/>
      <c r="F34" s="72" t="s">
        <v>12</v>
      </c>
      <c r="G34" s="73" t="s">
        <v>13</v>
      </c>
      <c r="H34" s="73"/>
      <c r="I34" s="74"/>
      <c r="J34" s="73"/>
      <c r="K34" s="72"/>
      <c r="L34" s="73"/>
      <c r="M34" s="6"/>
      <c r="N34" s="82" t="s">
        <v>12</v>
      </c>
      <c r="O34" s="73" t="s">
        <v>13</v>
      </c>
      <c r="P34" s="73"/>
      <c r="Q34" s="74"/>
      <c r="R34" s="73"/>
      <c r="S34" s="72"/>
      <c r="T34" s="83"/>
      <c r="V34" s="53"/>
      <c r="W34" s="54"/>
      <c r="X34" s="54"/>
      <c r="Y34" s="54"/>
    </row>
    <row r="35" spans="5:25" ht="9.9499999999999993" customHeight="1" x14ac:dyDescent="0.25">
      <c r="E35" s="33"/>
      <c r="F35" s="72" t="s">
        <v>14</v>
      </c>
      <c r="G35" s="73" t="s">
        <v>15</v>
      </c>
      <c r="H35" s="73"/>
      <c r="I35" s="74"/>
      <c r="J35" s="73"/>
      <c r="K35" s="72"/>
      <c r="L35" s="73"/>
      <c r="M35" s="6"/>
      <c r="N35" s="82" t="s">
        <v>14</v>
      </c>
      <c r="O35" s="73" t="s">
        <v>15</v>
      </c>
      <c r="P35" s="73"/>
      <c r="Q35" s="74"/>
      <c r="R35" s="73"/>
      <c r="S35" s="72"/>
      <c r="T35" s="83"/>
      <c r="V35" s="53"/>
      <c r="W35" s="54"/>
      <c r="X35" s="54"/>
      <c r="Y35" s="54"/>
    </row>
    <row r="36" spans="5:25" ht="9.9499999999999993" customHeight="1" x14ac:dyDescent="0.25">
      <c r="E36" s="33"/>
      <c r="F36" s="72" t="s">
        <v>16</v>
      </c>
      <c r="G36" s="73" t="s">
        <v>30</v>
      </c>
      <c r="H36" s="73"/>
      <c r="I36" s="74"/>
      <c r="J36" s="73"/>
      <c r="K36" s="72"/>
      <c r="L36" s="73"/>
      <c r="M36" s="6"/>
      <c r="N36" s="82" t="s">
        <v>16</v>
      </c>
      <c r="O36" s="73" t="s">
        <v>18</v>
      </c>
      <c r="P36" s="73"/>
      <c r="Q36" s="74"/>
      <c r="R36" s="73"/>
      <c r="S36" s="72"/>
      <c r="T36" s="83"/>
      <c r="V36" s="53"/>
      <c r="W36" s="54"/>
      <c r="X36" s="54"/>
      <c r="Y36" s="54"/>
    </row>
    <row r="37" spans="5:25" ht="9.9499999999999993" customHeight="1" x14ac:dyDescent="0.25">
      <c r="E37" s="33"/>
      <c r="F37" s="75"/>
      <c r="G37" s="73" t="s">
        <v>27</v>
      </c>
      <c r="H37" s="73"/>
      <c r="I37" s="74"/>
      <c r="J37" s="73"/>
      <c r="K37" s="75"/>
      <c r="L37" s="73"/>
      <c r="M37" s="6"/>
      <c r="N37" s="84"/>
      <c r="O37" s="73" t="s">
        <v>19</v>
      </c>
      <c r="P37" s="73"/>
      <c r="Q37" s="74"/>
      <c r="R37" s="73"/>
      <c r="S37" s="75"/>
      <c r="T37" s="83"/>
      <c r="V37" s="53"/>
      <c r="W37" s="54"/>
      <c r="X37" s="54"/>
      <c r="Y37" s="54"/>
    </row>
    <row r="38" spans="5:25" ht="9.9499999999999993" customHeight="1" x14ac:dyDescent="0.25">
      <c r="E38" s="33"/>
      <c r="F38" s="72" t="s">
        <v>17</v>
      </c>
      <c r="G38" s="73" t="s">
        <v>28</v>
      </c>
      <c r="H38" s="73"/>
      <c r="I38" s="74"/>
      <c r="J38" s="73"/>
      <c r="K38" s="72"/>
      <c r="L38" s="73"/>
      <c r="M38" s="6"/>
      <c r="N38" s="82" t="s">
        <v>17</v>
      </c>
      <c r="O38" s="73" t="s">
        <v>22</v>
      </c>
      <c r="P38" s="73"/>
      <c r="Q38" s="74"/>
      <c r="R38" s="73"/>
      <c r="S38" s="72"/>
      <c r="T38" s="83"/>
      <c r="V38" s="53"/>
      <c r="W38" s="54"/>
      <c r="X38" s="54"/>
      <c r="Y38" s="54"/>
    </row>
    <row r="39" spans="5:25" ht="9.9499999999999993" customHeight="1" x14ac:dyDescent="0.25">
      <c r="E39" s="33"/>
      <c r="F39" s="75"/>
      <c r="G39" s="73" t="s">
        <v>29</v>
      </c>
      <c r="H39" s="73"/>
      <c r="I39" s="74"/>
      <c r="J39" s="73"/>
      <c r="K39" s="75"/>
      <c r="L39" s="73"/>
      <c r="M39" s="6"/>
      <c r="N39" s="84"/>
      <c r="O39" s="73" t="s">
        <v>20</v>
      </c>
      <c r="P39" s="73"/>
      <c r="Q39" s="74"/>
      <c r="R39" s="73"/>
      <c r="S39" s="75"/>
      <c r="T39" s="83"/>
      <c r="V39" s="53"/>
      <c r="W39" s="54"/>
      <c r="X39" s="54"/>
      <c r="Y39" s="54"/>
    </row>
    <row r="40" spans="5:25" ht="9.9499999999999993" customHeight="1" thickBot="1" x14ac:dyDescent="0.3">
      <c r="E40" s="33"/>
      <c r="F40" s="76"/>
      <c r="G40" s="77"/>
      <c r="H40" s="77"/>
      <c r="I40" s="78"/>
      <c r="J40" s="77"/>
      <c r="K40" s="79"/>
      <c r="L40" s="77"/>
      <c r="M40" s="6"/>
      <c r="N40" s="85"/>
      <c r="O40" s="77" t="s">
        <v>21</v>
      </c>
      <c r="P40" s="77"/>
      <c r="Q40" s="78"/>
      <c r="R40" s="77"/>
      <c r="S40" s="79"/>
      <c r="T40" s="86"/>
      <c r="V40" s="53"/>
      <c r="W40" s="54"/>
      <c r="X40" s="54"/>
      <c r="Y40" s="54"/>
    </row>
    <row r="41" spans="5:25" ht="16.5" thickTop="1" x14ac:dyDescent="0.25"/>
  </sheetData>
  <mergeCells count="16">
    <mergeCell ref="N10:T10"/>
    <mergeCell ref="F10:L10"/>
    <mergeCell ref="O31:P31"/>
    <mergeCell ref="N11:T11"/>
    <mergeCell ref="G29:H30"/>
    <mergeCell ref="O29:P30"/>
    <mergeCell ref="G31:H31"/>
    <mergeCell ref="H15:K16"/>
    <mergeCell ref="F11:L11"/>
    <mergeCell ref="H12:K12"/>
    <mergeCell ref="H13:K13"/>
    <mergeCell ref="H14:K14"/>
    <mergeCell ref="P15:S16"/>
    <mergeCell ref="P12:S12"/>
    <mergeCell ref="P13:S13"/>
    <mergeCell ref="P14:S14"/>
  </mergeCells>
  <dataValidations count="3">
    <dataValidation type="list" allowBlank="1" showInputMessage="1" showErrorMessage="1" sqref="G13 O13" xr:uid="{E431AF39-37CD-4B44-8548-B69FC1C73F68}">
      <formula1>"Ayah,Ibu,Wali,Saudara"</formula1>
    </dataValidation>
    <dataValidation type="list" allowBlank="1" showInputMessage="1" sqref="P21" xr:uid="{CDFA2F5F-F68E-4EC5-BAC3-A1DD7EF48596}">
      <formula1>"Sakit,Orang Tua Sakit,Kifayah,Kepentingan Keluarga"</formula1>
    </dataValidation>
    <dataValidation type="list" allowBlank="1" showInputMessage="1" sqref="H21" xr:uid="{6619D8E4-5332-418B-A6DD-480A27C079BE}">
      <formula1>"Sakit,Orang Tua Sakit,Kifayah,Kepentingan Keluarga,Walimatul Usry"</formula1>
    </dataValidation>
  </dataValidations>
  <printOptions horizontalCentered="1" verticalCentered="1"/>
  <pageMargins left="0.19685039370078741" right="0.19685039370078741" top="0.19685039370078741" bottom="0.19685039370078741" header="0" footer="0.19685039370078741"/>
  <pageSetup paperSize="10000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8A975-3866-4D51-BA15-88A0EE7C0EAC}">
  <sheetPr codeName="Sheet1"/>
  <dimension ref="A1"/>
  <sheetViews>
    <sheetView workbookViewId="0">
      <selection activeCell="D13" sqref="D13"/>
    </sheetView>
  </sheetViews>
  <sheetFormatPr defaultRowHeight="15.7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882C3E-603F-4CFE-8C9C-5DE2A966A9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Ijin</vt:lpstr>
      <vt:lpstr>Sheet1</vt:lpstr>
      <vt:lpstr>Admin</vt:lpstr>
      <vt:lpstr>BG</vt:lpstr>
      <vt:lpstr>EditIjin</vt:lpstr>
      <vt:lpstr>Header</vt:lpstr>
      <vt:lpstr>IDS</vt:lpstr>
      <vt:lpstr>Nama</vt:lpstr>
      <vt:lpstr>Ijin!Print_Area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Al-Utsmani</dc:creator>
  <cp:lastModifiedBy>Al-Utsmani</cp:lastModifiedBy>
  <cp:lastPrinted>2024-06-26T08:01:03Z</cp:lastPrinted>
  <dcterms:created xsi:type="dcterms:W3CDTF">2023-09-19T11:04:23Z</dcterms:created>
  <dcterms:modified xsi:type="dcterms:W3CDTF">2024-09-02T00:30:22Z</dcterms:modified>
</cp:coreProperties>
</file>