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PSA\1445\App\"/>
    </mc:Choice>
  </mc:AlternateContent>
  <xr:revisionPtr revIDLastSave="0" documentId="13_ncr:1_{A411EBCA-363D-4F6E-89B4-99E55A8F5F09}" xr6:coauthVersionLast="47" xr6:coauthVersionMax="47" xr10:uidLastSave="{00000000-0000-0000-0000-000000000000}"/>
  <bookViews>
    <workbookView xWindow="-120" yWindow="-120" windowWidth="29040" windowHeight="15990" activeTab="1" xr2:uid="{555B14ED-CC64-45B2-B549-06F7C29B8F4D}"/>
  </bookViews>
  <sheets>
    <sheet name="Sheet1" sheetId="1" r:id="rId1"/>
    <sheet name="Banin" sheetId="5" r:id="rId2"/>
    <sheet name="Sheet3" sheetId="6" r:id="rId3"/>
    <sheet name="Banat" sheetId="8" r:id="rId4"/>
    <sheet name="Bondowoso" sheetId="3" state="hidden" r:id="rId5"/>
    <sheet name="Jember" sheetId="4" state="hidden" r:id="rId6"/>
  </sheets>
  <definedNames>
    <definedName name="_xlnm._FilterDatabase" localSheetId="4" hidden="1">Bondowoso!$A$3:$N$297</definedName>
    <definedName name="_xlnm._FilterDatabase" localSheetId="5" hidden="1">Jember!$A$3:$N$65</definedName>
    <definedName name="_xlnm._FilterDatabase" localSheetId="0" hidden="1">Sheet1!$A$1:$N$375</definedName>
    <definedName name="_xlnm._FilterDatabase" localSheetId="2" hidden="1">Sheet3!$A$1:$L$216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5" i="1" l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7" i="8" a="1"/>
  <c r="N7" i="8" s="1"/>
  <c r="N20" i="8" a="1"/>
  <c r="N20" i="8" s="1"/>
  <c r="N22" i="8" a="1"/>
  <c r="N22" i="8" s="1"/>
  <c r="C22" i="8" a="1"/>
  <c r="C22" i="8" s="1"/>
  <c r="C20" i="8" a="1"/>
  <c r="C20" i="8" s="1"/>
  <c r="O12" i="8" a="1"/>
  <c r="O12" i="8" s="1"/>
  <c r="O11" i="8" a="1"/>
  <c r="O11" i="8" s="1"/>
  <c r="O10" i="8" a="1"/>
  <c r="O10" i="8" s="1"/>
  <c r="D12" i="8" a="1"/>
  <c r="D12" i="8" s="1"/>
  <c r="D11" i="8" a="1"/>
  <c r="D11" i="8" s="1"/>
  <c r="C7" i="8" a="1"/>
  <c r="C7" i="8" s="1"/>
  <c r="D10" i="8" a="1"/>
  <c r="D10" i="8" s="1"/>
  <c r="S20" i="8"/>
  <c r="O16" i="8"/>
  <c r="O15" i="8"/>
  <c r="N6" i="8"/>
  <c r="O12" i="5" a="1"/>
  <c r="O12" i="5" s="1"/>
  <c r="O10" i="5" a="1"/>
  <c r="O10" i="5" s="1"/>
  <c r="C7" i="5" a="1"/>
  <c r="C7" i="5" s="1"/>
  <c r="N22" i="5" a="1"/>
  <c r="N22" i="5" s="1"/>
  <c r="N20" i="5" a="1"/>
  <c r="N20" i="5" s="1"/>
  <c r="O16" i="5"/>
  <c r="O15" i="5"/>
  <c r="O11" i="5" a="1"/>
  <c r="O11" i="5" s="1"/>
  <c r="N7" i="5" a="1"/>
  <c r="N7" i="5" s="1"/>
  <c r="S20" i="5"/>
  <c r="C22" i="5" a="1"/>
  <c r="C22" i="5" s="1"/>
  <c r="C20" i="5" a="1"/>
  <c r="C20" i="5" s="1"/>
  <c r="D12" i="5" a="1"/>
  <c r="D12" i="5" s="1"/>
  <c r="D11" i="5" a="1"/>
  <c r="D11" i="5" s="1"/>
  <c r="D10" i="5" a="1"/>
  <c r="D10" i="5" s="1"/>
  <c r="N6" i="5"/>
  <c r="N355" i="1"/>
  <c r="N6" i="1"/>
  <c r="N7" i="1"/>
  <c r="N8" i="1"/>
  <c r="N3" i="1"/>
  <c r="N4" i="1"/>
  <c r="N5" i="1"/>
  <c r="N12" i="1"/>
  <c r="N13" i="1"/>
  <c r="N14" i="1"/>
  <c r="N15" i="1"/>
  <c r="N9" i="1"/>
  <c r="N10" i="1"/>
  <c r="N11" i="1"/>
  <c r="N16" i="1"/>
  <c r="N17" i="3" s="1"/>
  <c r="N17" i="1"/>
  <c r="N18" i="3" s="1"/>
  <c r="N18" i="1"/>
  <c r="N19" i="3" s="1"/>
  <c r="N19" i="1"/>
  <c r="N20" i="1"/>
  <c r="N21" i="3" s="1"/>
  <c r="N21" i="1"/>
  <c r="N22" i="3" s="1"/>
  <c r="N22" i="1"/>
  <c r="N23" i="3" s="1"/>
  <c r="N23" i="1"/>
  <c r="N24" i="3" s="1"/>
  <c r="N24" i="1"/>
  <c r="N25" i="1"/>
  <c r="N26" i="1"/>
  <c r="N27" i="1"/>
  <c r="N17" i="4" s="1"/>
  <c r="N28" i="1"/>
  <c r="N29" i="1"/>
  <c r="N30" i="1"/>
  <c r="N31" i="1"/>
  <c r="N59" i="4" s="1"/>
  <c r="N33" i="1"/>
  <c r="N37" i="1"/>
  <c r="N38" i="1"/>
  <c r="N39" i="1"/>
  <c r="N40" i="1"/>
  <c r="N34" i="1"/>
  <c r="N41" i="1"/>
  <c r="N35" i="1"/>
  <c r="N42" i="1"/>
  <c r="N43" i="1"/>
  <c r="N32" i="1"/>
  <c r="N36" i="1"/>
  <c r="N45" i="1"/>
  <c r="N46" i="1"/>
  <c r="N44" i="1"/>
  <c r="N47" i="1"/>
  <c r="N39" i="3" s="1"/>
  <c r="N48" i="1"/>
  <c r="N49" i="1"/>
  <c r="N50" i="1"/>
  <c r="N51" i="1"/>
  <c r="N52" i="1"/>
  <c r="N53" i="1"/>
  <c r="N25" i="4" s="1"/>
  <c r="N54" i="1"/>
  <c r="N60" i="4" s="1"/>
  <c r="N56" i="1"/>
  <c r="N55" i="1"/>
  <c r="N57" i="1"/>
  <c r="N9" i="4" s="1"/>
  <c r="N59" i="1"/>
  <c r="N60" i="1"/>
  <c r="N58" i="1"/>
  <c r="N61" i="1"/>
  <c r="N43" i="3" s="1"/>
  <c r="N63" i="1"/>
  <c r="N62" i="1"/>
  <c r="N67" i="1"/>
  <c r="N64" i="1"/>
  <c r="N68" i="1"/>
  <c r="N65" i="1"/>
  <c r="N66" i="1"/>
  <c r="N71" i="1"/>
  <c r="N69" i="1"/>
  <c r="N72" i="1"/>
  <c r="N70" i="1"/>
  <c r="N76" i="1"/>
  <c r="N73" i="1"/>
  <c r="N74" i="1"/>
  <c r="N75" i="1"/>
  <c r="N83" i="1"/>
  <c r="N77" i="1"/>
  <c r="N78" i="1"/>
  <c r="N79" i="1"/>
  <c r="N80" i="1"/>
  <c r="N81" i="1"/>
  <c r="N82" i="1"/>
  <c r="N84" i="1"/>
  <c r="N85" i="1"/>
  <c r="N86" i="1"/>
  <c r="N95" i="1"/>
  <c r="N87" i="1"/>
  <c r="N88" i="1"/>
  <c r="N89" i="1"/>
  <c r="N90" i="1"/>
  <c r="N91" i="1"/>
  <c r="N92" i="1"/>
  <c r="N93" i="1"/>
  <c r="N94" i="1"/>
  <c r="N96" i="1"/>
  <c r="N97" i="1"/>
  <c r="N73" i="3" s="1"/>
  <c r="N98" i="1"/>
  <c r="N99" i="1"/>
  <c r="N106" i="1"/>
  <c r="N100" i="1"/>
  <c r="N107" i="1"/>
  <c r="N108" i="1"/>
  <c r="N101" i="1"/>
  <c r="N102" i="1"/>
  <c r="N103" i="1"/>
  <c r="N104" i="1"/>
  <c r="N105" i="1"/>
  <c r="N109" i="1"/>
  <c r="N85" i="3" s="1"/>
  <c r="N110" i="1"/>
  <c r="N111" i="1"/>
  <c r="N87" i="3" s="1"/>
  <c r="N112" i="1"/>
  <c r="N113" i="1"/>
  <c r="N89" i="3" s="1"/>
  <c r="N115" i="1"/>
  <c r="N116" i="1"/>
  <c r="N114" i="1"/>
  <c r="N121" i="1"/>
  <c r="N122" i="1"/>
  <c r="N117" i="1"/>
  <c r="N123" i="1"/>
  <c r="N124" i="1"/>
  <c r="N118" i="1"/>
  <c r="N119" i="1"/>
  <c r="N120" i="1"/>
  <c r="N125" i="1"/>
  <c r="N126" i="1"/>
  <c r="N129" i="1"/>
  <c r="N130" i="1"/>
  <c r="N131" i="1"/>
  <c r="N132" i="1"/>
  <c r="N133" i="1"/>
  <c r="N134" i="1"/>
  <c r="N127" i="1"/>
  <c r="N128" i="1"/>
  <c r="N135" i="1"/>
  <c r="N141" i="1"/>
  <c r="N136" i="1"/>
  <c r="N137" i="1"/>
  <c r="N138" i="1"/>
  <c r="N139" i="1"/>
  <c r="N140" i="1"/>
  <c r="N144" i="1"/>
  <c r="N145" i="1"/>
  <c r="N142" i="1"/>
  <c r="N143" i="1"/>
  <c r="N146" i="1"/>
  <c r="N147" i="1"/>
  <c r="N151" i="1"/>
  <c r="N148" i="1"/>
  <c r="N152" i="1"/>
  <c r="N149" i="1"/>
  <c r="N150" i="1"/>
  <c r="N154" i="1"/>
  <c r="N153" i="1"/>
  <c r="N156" i="1"/>
  <c r="N155" i="1"/>
  <c r="N161" i="1"/>
  <c r="N162" i="1"/>
  <c r="N163" i="1"/>
  <c r="N164" i="1"/>
  <c r="N157" i="1"/>
  <c r="N158" i="1"/>
  <c r="N159" i="1"/>
  <c r="N160" i="1"/>
  <c r="N168" i="1"/>
  <c r="N174" i="1"/>
  <c r="N169" i="1"/>
  <c r="N170" i="1"/>
  <c r="N171" i="1"/>
  <c r="N172" i="1"/>
  <c r="N165" i="1"/>
  <c r="N175" i="1"/>
  <c r="N166" i="1"/>
  <c r="N167" i="1"/>
  <c r="N173" i="1"/>
  <c r="N178" i="1"/>
  <c r="N176" i="1"/>
  <c r="N177" i="1"/>
  <c r="N180" i="1"/>
  <c r="N181" i="1"/>
  <c r="N182" i="1"/>
  <c r="N183" i="1"/>
  <c r="N186" i="1"/>
  <c r="N187" i="1"/>
  <c r="N184" i="1"/>
  <c r="N185" i="1"/>
  <c r="N188" i="1"/>
  <c r="N179" i="1"/>
  <c r="N189" i="1"/>
  <c r="N159" i="3" s="1"/>
  <c r="N190" i="1"/>
  <c r="N191" i="1"/>
  <c r="N39" i="4" s="1"/>
  <c r="N193" i="1"/>
  <c r="N192" i="1"/>
  <c r="N194" i="1"/>
  <c r="N195" i="1"/>
  <c r="N164" i="3" s="1"/>
  <c r="N196" i="1"/>
  <c r="N197" i="1"/>
  <c r="N166" i="3" s="1"/>
  <c r="N198" i="1"/>
  <c r="N199" i="1"/>
  <c r="N167" i="3" s="1"/>
  <c r="N201" i="1"/>
  <c r="N200" i="1"/>
  <c r="N202" i="1"/>
  <c r="N208" i="1"/>
  <c r="N209" i="1"/>
  <c r="N203" i="1"/>
  <c r="N204" i="1"/>
  <c r="N205" i="1"/>
  <c r="N206" i="1"/>
  <c r="N210" i="1"/>
  <c r="N207" i="1"/>
  <c r="N211" i="1"/>
  <c r="N177" i="3" s="1"/>
  <c r="N212" i="1"/>
  <c r="N213" i="1"/>
  <c r="N179" i="3" s="1"/>
  <c r="N214" i="1"/>
  <c r="N215" i="1"/>
  <c r="N180" i="3" s="1"/>
  <c r="N216" i="1"/>
  <c r="N218" i="1"/>
  <c r="N217" i="1"/>
  <c r="N219" i="1"/>
  <c r="N182" i="3" s="1"/>
  <c r="N221" i="1"/>
  <c r="N220" i="1"/>
  <c r="N223" i="1"/>
  <c r="N222" i="1"/>
  <c r="N225" i="1"/>
  <c r="N224" i="1"/>
  <c r="N226" i="1"/>
  <c r="N227" i="1"/>
  <c r="N64" i="4" s="1"/>
  <c r="N228" i="1"/>
  <c r="N229" i="1"/>
  <c r="N189" i="3" s="1"/>
  <c r="N230" i="1"/>
  <c r="N231" i="1"/>
  <c r="N232" i="1"/>
  <c r="N233" i="1"/>
  <c r="N235" i="1"/>
  <c r="N236" i="1"/>
  <c r="N234" i="1"/>
  <c r="N237" i="1"/>
  <c r="N195" i="3" s="1"/>
  <c r="N238" i="1"/>
  <c r="N196" i="3" s="1"/>
  <c r="N239" i="1"/>
  <c r="N240" i="1"/>
  <c r="N241" i="1"/>
  <c r="N198" i="3" s="1"/>
  <c r="N242" i="1"/>
  <c r="N199" i="3" s="1"/>
  <c r="N243" i="1"/>
  <c r="N244" i="1"/>
  <c r="N245" i="1"/>
  <c r="N201" i="3" s="1"/>
  <c r="N246" i="1"/>
  <c r="N202" i="3" s="1"/>
  <c r="N247" i="1"/>
  <c r="N250" i="1"/>
  <c r="N248" i="1"/>
  <c r="N249" i="1"/>
  <c r="N257" i="1"/>
  <c r="N251" i="1"/>
  <c r="N252" i="1"/>
  <c r="N253" i="1"/>
  <c r="N254" i="1"/>
  <c r="N255" i="1"/>
  <c r="N256" i="1"/>
  <c r="N261" i="1"/>
  <c r="N258" i="1"/>
  <c r="N259" i="1"/>
  <c r="N260" i="1"/>
  <c r="N264" i="1"/>
  <c r="N262" i="1"/>
  <c r="N263" i="1"/>
  <c r="N265" i="1"/>
  <c r="N11" i="4" s="1"/>
  <c r="N267" i="1"/>
  <c r="N268" i="1"/>
  <c r="N266" i="1"/>
  <c r="N269" i="1"/>
  <c r="N50" i="4" s="1"/>
  <c r="N271" i="1"/>
  <c r="N270" i="1"/>
  <c r="N272" i="1"/>
  <c r="N273" i="1"/>
  <c r="N223" i="3" s="1"/>
  <c r="N274" i="1"/>
  <c r="N278" i="1"/>
  <c r="N279" i="1"/>
  <c r="N275" i="1"/>
  <c r="N276" i="1"/>
  <c r="N277" i="1"/>
  <c r="N280" i="1"/>
  <c r="N228" i="3" s="1"/>
  <c r="N281" i="1"/>
  <c r="N229" i="3" s="1"/>
  <c r="N282" i="1"/>
  <c r="N230" i="3" s="1"/>
  <c r="N283" i="1"/>
  <c r="N231" i="3" s="1"/>
  <c r="N284" i="1"/>
  <c r="N232" i="3" s="1"/>
  <c r="N285" i="1"/>
  <c r="N286" i="1"/>
  <c r="N287" i="1"/>
  <c r="N234" i="3" s="1"/>
  <c r="N289" i="1"/>
  <c r="N288" i="1"/>
  <c r="N290" i="1"/>
  <c r="N291" i="1"/>
  <c r="N292" i="1"/>
  <c r="N12" i="4" s="1"/>
  <c r="N293" i="1"/>
  <c r="N239" i="3" s="1"/>
  <c r="N294" i="1"/>
  <c r="N240" i="3" s="1"/>
  <c r="N295" i="1"/>
  <c r="N241" i="3" s="1"/>
  <c r="N296" i="1"/>
  <c r="N13" i="4" s="1"/>
  <c r="N297" i="1"/>
  <c r="N242" i="3" s="1"/>
  <c r="N298" i="1"/>
  <c r="N345" i="1"/>
  <c r="N346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50" i="1"/>
  <c r="N351" i="1"/>
  <c r="N347" i="1"/>
  <c r="N352" i="1"/>
  <c r="N348" i="1"/>
  <c r="N349" i="1"/>
  <c r="N353" i="1"/>
  <c r="N296" i="3" s="1"/>
  <c r="N354" i="1"/>
  <c r="N356" i="1"/>
  <c r="N5" i="4" s="1"/>
  <c r="N357" i="1"/>
  <c r="N2" i="1"/>
  <c r="N4" i="3" s="1"/>
  <c r="D4" i="4"/>
  <c r="D5" i="4"/>
  <c r="D6" i="4"/>
  <c r="D49" i="4"/>
  <c r="D11" i="4"/>
  <c r="D50" i="4"/>
  <c r="D51" i="4"/>
  <c r="D52" i="4"/>
  <c r="D53" i="4"/>
  <c r="D63" i="4"/>
  <c r="D54" i="4"/>
  <c r="D55" i="4"/>
  <c r="M65" i="4"/>
  <c r="L65" i="4"/>
  <c r="K65" i="4"/>
  <c r="J65" i="4"/>
  <c r="I65" i="4"/>
  <c r="H65" i="4"/>
  <c r="G65" i="4"/>
  <c r="F65" i="4"/>
  <c r="E65" i="4"/>
  <c r="D65" i="4"/>
  <c r="C65" i="4"/>
  <c r="M64" i="4"/>
  <c r="L64" i="4"/>
  <c r="K64" i="4"/>
  <c r="J64" i="4"/>
  <c r="I64" i="4"/>
  <c r="H64" i="4"/>
  <c r="G64" i="4"/>
  <c r="F64" i="4"/>
  <c r="E64" i="4"/>
  <c r="D64" i="4"/>
  <c r="C64" i="4"/>
  <c r="M63" i="4"/>
  <c r="L63" i="4"/>
  <c r="K63" i="4"/>
  <c r="J63" i="4"/>
  <c r="I63" i="4"/>
  <c r="H63" i="4"/>
  <c r="G63" i="4"/>
  <c r="F63" i="4"/>
  <c r="E63" i="4"/>
  <c r="C63" i="4"/>
  <c r="M62" i="4"/>
  <c r="L62" i="4"/>
  <c r="K62" i="4"/>
  <c r="J62" i="4"/>
  <c r="I62" i="4"/>
  <c r="H62" i="4"/>
  <c r="G62" i="4"/>
  <c r="F62" i="4"/>
  <c r="E62" i="4"/>
  <c r="D62" i="4"/>
  <c r="C62" i="4"/>
  <c r="M61" i="4"/>
  <c r="L61" i="4"/>
  <c r="K61" i="4"/>
  <c r="J61" i="4"/>
  <c r="I61" i="4"/>
  <c r="H61" i="4"/>
  <c r="G61" i="4"/>
  <c r="F61" i="4"/>
  <c r="E61" i="4"/>
  <c r="D61" i="4"/>
  <c r="C61" i="4"/>
  <c r="M60" i="4"/>
  <c r="L60" i="4"/>
  <c r="K60" i="4"/>
  <c r="J60" i="4"/>
  <c r="I60" i="4"/>
  <c r="H60" i="4"/>
  <c r="G60" i="4"/>
  <c r="F60" i="4"/>
  <c r="E60" i="4"/>
  <c r="D60" i="4"/>
  <c r="C60" i="4"/>
  <c r="M59" i="4"/>
  <c r="L59" i="4"/>
  <c r="K59" i="4"/>
  <c r="J59" i="4"/>
  <c r="I59" i="4"/>
  <c r="H59" i="4"/>
  <c r="G59" i="4"/>
  <c r="F59" i="4"/>
  <c r="E59" i="4"/>
  <c r="D59" i="4"/>
  <c r="C59" i="4"/>
  <c r="M58" i="4"/>
  <c r="L58" i="4"/>
  <c r="K58" i="4"/>
  <c r="J58" i="4"/>
  <c r="I58" i="4"/>
  <c r="H58" i="4"/>
  <c r="G58" i="4"/>
  <c r="F58" i="4"/>
  <c r="E58" i="4"/>
  <c r="D58" i="4"/>
  <c r="C58" i="4"/>
  <c r="M57" i="4"/>
  <c r="L57" i="4"/>
  <c r="K57" i="4"/>
  <c r="J57" i="4"/>
  <c r="I57" i="4"/>
  <c r="H57" i="4"/>
  <c r="G57" i="4"/>
  <c r="F57" i="4"/>
  <c r="E57" i="4"/>
  <c r="D57" i="4"/>
  <c r="C57" i="4"/>
  <c r="M56" i="4"/>
  <c r="L56" i="4"/>
  <c r="K56" i="4"/>
  <c r="J56" i="4"/>
  <c r="I56" i="4"/>
  <c r="H56" i="4"/>
  <c r="G56" i="4"/>
  <c r="F56" i="4"/>
  <c r="E56" i="4"/>
  <c r="D56" i="4"/>
  <c r="C56" i="4"/>
  <c r="M55" i="4"/>
  <c r="L55" i="4"/>
  <c r="K55" i="4"/>
  <c r="J55" i="4"/>
  <c r="I55" i="4"/>
  <c r="H55" i="4"/>
  <c r="G55" i="4"/>
  <c r="F55" i="4"/>
  <c r="E55" i="4"/>
  <c r="C55" i="4"/>
  <c r="M54" i="4"/>
  <c r="L54" i="4"/>
  <c r="K54" i="4"/>
  <c r="J54" i="4"/>
  <c r="I54" i="4"/>
  <c r="H54" i="4"/>
  <c r="G54" i="4"/>
  <c r="F54" i="4"/>
  <c r="E54" i="4"/>
  <c r="C54" i="4"/>
  <c r="M53" i="4"/>
  <c r="L53" i="4"/>
  <c r="K53" i="4"/>
  <c r="J53" i="4"/>
  <c r="I53" i="4"/>
  <c r="H53" i="4"/>
  <c r="G53" i="4"/>
  <c r="F53" i="4"/>
  <c r="E53" i="4"/>
  <c r="C53" i="4"/>
  <c r="M52" i="4"/>
  <c r="L52" i="4"/>
  <c r="K52" i="4"/>
  <c r="J52" i="4"/>
  <c r="I52" i="4"/>
  <c r="H52" i="4"/>
  <c r="G52" i="4"/>
  <c r="F52" i="4"/>
  <c r="E52" i="4"/>
  <c r="C52" i="4"/>
  <c r="M51" i="4"/>
  <c r="L51" i="4"/>
  <c r="K51" i="4"/>
  <c r="J51" i="4"/>
  <c r="I51" i="4"/>
  <c r="H51" i="4"/>
  <c r="G51" i="4"/>
  <c r="F51" i="4"/>
  <c r="E51" i="4"/>
  <c r="C51" i="4"/>
  <c r="M50" i="4"/>
  <c r="L50" i="4"/>
  <c r="K50" i="4"/>
  <c r="J50" i="4"/>
  <c r="I50" i="4"/>
  <c r="H50" i="4"/>
  <c r="G50" i="4"/>
  <c r="F50" i="4"/>
  <c r="E50" i="4"/>
  <c r="C50" i="4"/>
  <c r="M49" i="4"/>
  <c r="L49" i="4"/>
  <c r="K49" i="4"/>
  <c r="J49" i="4"/>
  <c r="I49" i="4"/>
  <c r="H49" i="4"/>
  <c r="G49" i="4"/>
  <c r="F49" i="4"/>
  <c r="E49" i="4"/>
  <c r="C49" i="4"/>
  <c r="M48" i="4"/>
  <c r="L48" i="4"/>
  <c r="K48" i="4"/>
  <c r="J48" i="4"/>
  <c r="I48" i="4"/>
  <c r="H48" i="4"/>
  <c r="G48" i="4"/>
  <c r="F48" i="4"/>
  <c r="E48" i="4"/>
  <c r="D48" i="4"/>
  <c r="C48" i="4"/>
  <c r="M47" i="4"/>
  <c r="L47" i="4"/>
  <c r="K47" i="4"/>
  <c r="J47" i="4"/>
  <c r="I47" i="4"/>
  <c r="H47" i="4"/>
  <c r="G47" i="4"/>
  <c r="F47" i="4"/>
  <c r="E47" i="4"/>
  <c r="D47" i="4"/>
  <c r="C47" i="4"/>
  <c r="M46" i="4"/>
  <c r="L46" i="4"/>
  <c r="K46" i="4"/>
  <c r="J46" i="4"/>
  <c r="I46" i="4"/>
  <c r="H46" i="4"/>
  <c r="G46" i="4"/>
  <c r="F46" i="4"/>
  <c r="E46" i="4"/>
  <c r="D46" i="4"/>
  <c r="C46" i="4"/>
  <c r="M45" i="4"/>
  <c r="L45" i="4"/>
  <c r="K45" i="4"/>
  <c r="J45" i="4"/>
  <c r="I45" i="4"/>
  <c r="H45" i="4"/>
  <c r="G45" i="4"/>
  <c r="F45" i="4"/>
  <c r="E45" i="4"/>
  <c r="D45" i="4"/>
  <c r="C45" i="4"/>
  <c r="M44" i="4"/>
  <c r="L44" i="4"/>
  <c r="K44" i="4"/>
  <c r="J44" i="4"/>
  <c r="I44" i="4"/>
  <c r="H44" i="4"/>
  <c r="G44" i="4"/>
  <c r="F44" i="4"/>
  <c r="E44" i="4"/>
  <c r="D44" i="4"/>
  <c r="C44" i="4"/>
  <c r="M43" i="4"/>
  <c r="L43" i="4"/>
  <c r="K43" i="4"/>
  <c r="J43" i="4"/>
  <c r="I43" i="4"/>
  <c r="H43" i="4"/>
  <c r="G43" i="4"/>
  <c r="F43" i="4"/>
  <c r="E43" i="4"/>
  <c r="D43" i="4"/>
  <c r="C43" i="4"/>
  <c r="M42" i="4"/>
  <c r="L42" i="4"/>
  <c r="K42" i="4"/>
  <c r="J42" i="4"/>
  <c r="I42" i="4"/>
  <c r="H42" i="4"/>
  <c r="G42" i="4"/>
  <c r="F42" i="4"/>
  <c r="E42" i="4"/>
  <c r="D42" i="4"/>
  <c r="C42" i="4"/>
  <c r="M41" i="4"/>
  <c r="L41" i="4"/>
  <c r="K41" i="4"/>
  <c r="J41" i="4"/>
  <c r="I41" i="4"/>
  <c r="H41" i="4"/>
  <c r="G41" i="4"/>
  <c r="F41" i="4"/>
  <c r="E41" i="4"/>
  <c r="D41" i="4"/>
  <c r="C41" i="4"/>
  <c r="M40" i="4"/>
  <c r="L40" i="4"/>
  <c r="K40" i="4"/>
  <c r="J40" i="4"/>
  <c r="I40" i="4"/>
  <c r="H40" i="4"/>
  <c r="G40" i="4"/>
  <c r="F40" i="4"/>
  <c r="E40" i="4"/>
  <c r="D40" i="4"/>
  <c r="C40" i="4"/>
  <c r="M39" i="4"/>
  <c r="L39" i="4"/>
  <c r="K39" i="4"/>
  <c r="J39" i="4"/>
  <c r="I39" i="4"/>
  <c r="H39" i="4"/>
  <c r="G39" i="4"/>
  <c r="F39" i="4"/>
  <c r="E39" i="4"/>
  <c r="D39" i="4"/>
  <c r="C39" i="4"/>
  <c r="M38" i="4"/>
  <c r="L38" i="4"/>
  <c r="K38" i="4"/>
  <c r="J38" i="4"/>
  <c r="I38" i="4"/>
  <c r="H38" i="4"/>
  <c r="G38" i="4"/>
  <c r="F38" i="4"/>
  <c r="E38" i="4"/>
  <c r="D38" i="4"/>
  <c r="C38" i="4"/>
  <c r="M37" i="4"/>
  <c r="L37" i="4"/>
  <c r="K37" i="4"/>
  <c r="J37" i="4"/>
  <c r="I37" i="4"/>
  <c r="H37" i="4"/>
  <c r="G37" i="4"/>
  <c r="F37" i="4"/>
  <c r="E37" i="4"/>
  <c r="D37" i="4"/>
  <c r="C37" i="4"/>
  <c r="M36" i="4"/>
  <c r="L36" i="4"/>
  <c r="K36" i="4"/>
  <c r="J36" i="4"/>
  <c r="I36" i="4"/>
  <c r="H36" i="4"/>
  <c r="G36" i="4"/>
  <c r="F36" i="4"/>
  <c r="E36" i="4"/>
  <c r="D36" i="4"/>
  <c r="C36" i="4"/>
  <c r="M35" i="4"/>
  <c r="L35" i="4"/>
  <c r="K35" i="4"/>
  <c r="J35" i="4"/>
  <c r="I35" i="4"/>
  <c r="H35" i="4"/>
  <c r="G35" i="4"/>
  <c r="F35" i="4"/>
  <c r="E35" i="4"/>
  <c r="D35" i="4"/>
  <c r="C35" i="4"/>
  <c r="M34" i="4"/>
  <c r="L34" i="4"/>
  <c r="K34" i="4"/>
  <c r="J34" i="4"/>
  <c r="I34" i="4"/>
  <c r="H34" i="4"/>
  <c r="G34" i="4"/>
  <c r="F34" i="4"/>
  <c r="E34" i="4"/>
  <c r="D34" i="4"/>
  <c r="C34" i="4"/>
  <c r="M33" i="4"/>
  <c r="L33" i="4"/>
  <c r="K33" i="4"/>
  <c r="J33" i="4"/>
  <c r="I33" i="4"/>
  <c r="H33" i="4"/>
  <c r="G33" i="4"/>
  <c r="F33" i="4"/>
  <c r="E33" i="4"/>
  <c r="D33" i="4"/>
  <c r="C33" i="4"/>
  <c r="M32" i="4"/>
  <c r="L32" i="4"/>
  <c r="K32" i="4"/>
  <c r="J32" i="4"/>
  <c r="I32" i="4"/>
  <c r="H32" i="4"/>
  <c r="G32" i="4"/>
  <c r="F32" i="4"/>
  <c r="E32" i="4"/>
  <c r="D32" i="4"/>
  <c r="C32" i="4"/>
  <c r="M31" i="4"/>
  <c r="L31" i="4"/>
  <c r="K31" i="4"/>
  <c r="J31" i="4"/>
  <c r="I31" i="4"/>
  <c r="H31" i="4"/>
  <c r="G31" i="4"/>
  <c r="F31" i="4"/>
  <c r="E31" i="4"/>
  <c r="D31" i="4"/>
  <c r="C31" i="4"/>
  <c r="M30" i="4"/>
  <c r="L30" i="4"/>
  <c r="K30" i="4"/>
  <c r="J30" i="4"/>
  <c r="I30" i="4"/>
  <c r="H30" i="4"/>
  <c r="G30" i="4"/>
  <c r="F30" i="4"/>
  <c r="E30" i="4"/>
  <c r="D30" i="4"/>
  <c r="C30" i="4"/>
  <c r="M29" i="4"/>
  <c r="L29" i="4"/>
  <c r="K29" i="4"/>
  <c r="J29" i="4"/>
  <c r="I29" i="4"/>
  <c r="H29" i="4"/>
  <c r="G29" i="4"/>
  <c r="F29" i="4"/>
  <c r="E29" i="4"/>
  <c r="D29" i="4"/>
  <c r="C29" i="4"/>
  <c r="M28" i="4"/>
  <c r="L28" i="4"/>
  <c r="K28" i="4"/>
  <c r="J28" i="4"/>
  <c r="I28" i="4"/>
  <c r="H28" i="4"/>
  <c r="G28" i="4"/>
  <c r="F28" i="4"/>
  <c r="E28" i="4"/>
  <c r="D28" i="4"/>
  <c r="C28" i="4"/>
  <c r="M27" i="4"/>
  <c r="L27" i="4"/>
  <c r="K27" i="4"/>
  <c r="J27" i="4"/>
  <c r="I27" i="4"/>
  <c r="H27" i="4"/>
  <c r="G27" i="4"/>
  <c r="F27" i="4"/>
  <c r="E27" i="4"/>
  <c r="D27" i="4"/>
  <c r="C27" i="4"/>
  <c r="M26" i="4"/>
  <c r="L26" i="4"/>
  <c r="K26" i="4"/>
  <c r="J26" i="4"/>
  <c r="I26" i="4"/>
  <c r="H26" i="4"/>
  <c r="G26" i="4"/>
  <c r="F26" i="4"/>
  <c r="E26" i="4"/>
  <c r="D26" i="4"/>
  <c r="C26" i="4"/>
  <c r="M25" i="4"/>
  <c r="L25" i="4"/>
  <c r="K25" i="4"/>
  <c r="J25" i="4"/>
  <c r="I25" i="4"/>
  <c r="H25" i="4"/>
  <c r="G25" i="4"/>
  <c r="F25" i="4"/>
  <c r="E25" i="4"/>
  <c r="D25" i="4"/>
  <c r="C25" i="4"/>
  <c r="M24" i="4"/>
  <c r="L24" i="4"/>
  <c r="K24" i="4"/>
  <c r="J24" i="4"/>
  <c r="I24" i="4"/>
  <c r="H24" i="4"/>
  <c r="G24" i="4"/>
  <c r="F24" i="4"/>
  <c r="E24" i="4"/>
  <c r="D24" i="4"/>
  <c r="C24" i="4"/>
  <c r="M23" i="4"/>
  <c r="L23" i="4"/>
  <c r="K23" i="4"/>
  <c r="J23" i="4"/>
  <c r="I23" i="4"/>
  <c r="H23" i="4"/>
  <c r="G23" i="4"/>
  <c r="F23" i="4"/>
  <c r="E23" i="4"/>
  <c r="D23" i="4"/>
  <c r="C23" i="4"/>
  <c r="M22" i="4"/>
  <c r="L22" i="4"/>
  <c r="K22" i="4"/>
  <c r="J22" i="4"/>
  <c r="I22" i="4"/>
  <c r="H22" i="4"/>
  <c r="G22" i="4"/>
  <c r="F22" i="4"/>
  <c r="E22" i="4"/>
  <c r="D22" i="4"/>
  <c r="C22" i="4"/>
  <c r="M21" i="4"/>
  <c r="L21" i="4"/>
  <c r="K21" i="4"/>
  <c r="J21" i="4"/>
  <c r="I21" i="4"/>
  <c r="H21" i="4"/>
  <c r="G21" i="4"/>
  <c r="F21" i="4"/>
  <c r="E21" i="4"/>
  <c r="D21" i="4"/>
  <c r="C21" i="4"/>
  <c r="M20" i="4"/>
  <c r="L20" i="4"/>
  <c r="K20" i="4"/>
  <c r="J20" i="4"/>
  <c r="I20" i="4"/>
  <c r="H20" i="4"/>
  <c r="G20" i="4"/>
  <c r="F20" i="4"/>
  <c r="E20" i="4"/>
  <c r="D20" i="4"/>
  <c r="C20" i="4"/>
  <c r="M19" i="4"/>
  <c r="L19" i="4"/>
  <c r="K19" i="4"/>
  <c r="J19" i="4"/>
  <c r="I19" i="4"/>
  <c r="H19" i="4"/>
  <c r="G19" i="4"/>
  <c r="F19" i="4"/>
  <c r="E19" i="4"/>
  <c r="D19" i="4"/>
  <c r="C19" i="4"/>
  <c r="M18" i="4"/>
  <c r="L18" i="4"/>
  <c r="K18" i="4"/>
  <c r="J18" i="4"/>
  <c r="I18" i="4"/>
  <c r="H18" i="4"/>
  <c r="G18" i="4"/>
  <c r="F18" i="4"/>
  <c r="E18" i="4"/>
  <c r="D18" i="4"/>
  <c r="C18" i="4"/>
  <c r="M17" i="4"/>
  <c r="L17" i="4"/>
  <c r="K17" i="4"/>
  <c r="J17" i="4"/>
  <c r="I17" i="4"/>
  <c r="H17" i="4"/>
  <c r="G17" i="4"/>
  <c r="F17" i="4"/>
  <c r="E17" i="4"/>
  <c r="D17" i="4"/>
  <c r="C17" i="4"/>
  <c r="M16" i="4"/>
  <c r="L16" i="4"/>
  <c r="K16" i="4"/>
  <c r="J16" i="4"/>
  <c r="I16" i="4"/>
  <c r="H16" i="4"/>
  <c r="G16" i="4"/>
  <c r="F16" i="4"/>
  <c r="E16" i="4"/>
  <c r="D16" i="4"/>
  <c r="C16" i="4"/>
  <c r="M15" i="4"/>
  <c r="L15" i="4"/>
  <c r="K15" i="4"/>
  <c r="J15" i="4"/>
  <c r="I15" i="4"/>
  <c r="H15" i="4"/>
  <c r="G15" i="4"/>
  <c r="F15" i="4"/>
  <c r="E15" i="4"/>
  <c r="D15" i="4"/>
  <c r="C15" i="4"/>
  <c r="M14" i="4"/>
  <c r="L14" i="4"/>
  <c r="K14" i="4"/>
  <c r="J14" i="4"/>
  <c r="I14" i="4"/>
  <c r="H14" i="4"/>
  <c r="G14" i="4"/>
  <c r="F14" i="4"/>
  <c r="E14" i="4"/>
  <c r="D14" i="4"/>
  <c r="C14" i="4"/>
  <c r="M6" i="4"/>
  <c r="L6" i="4"/>
  <c r="K6" i="4"/>
  <c r="J6" i="4"/>
  <c r="I6" i="4"/>
  <c r="H6" i="4"/>
  <c r="G6" i="4"/>
  <c r="F6" i="4"/>
  <c r="E6" i="4"/>
  <c r="C6" i="4"/>
  <c r="M5" i="4"/>
  <c r="L5" i="4"/>
  <c r="K5" i="4"/>
  <c r="J5" i="4"/>
  <c r="I5" i="4"/>
  <c r="H5" i="4"/>
  <c r="G5" i="4"/>
  <c r="F5" i="4"/>
  <c r="E5" i="4"/>
  <c r="C5" i="4"/>
  <c r="M4" i="4"/>
  <c r="L4" i="4"/>
  <c r="K4" i="4"/>
  <c r="J4" i="4"/>
  <c r="I4" i="4"/>
  <c r="H4" i="4"/>
  <c r="G4" i="4"/>
  <c r="F4" i="4"/>
  <c r="E4" i="4"/>
  <c r="C4" i="4"/>
  <c r="M13" i="4"/>
  <c r="L13" i="4"/>
  <c r="K13" i="4"/>
  <c r="J13" i="4"/>
  <c r="I13" i="4"/>
  <c r="H13" i="4"/>
  <c r="G13" i="4"/>
  <c r="F13" i="4"/>
  <c r="E13" i="4"/>
  <c r="D13" i="4"/>
  <c r="C13" i="4"/>
  <c r="M12" i="4"/>
  <c r="L12" i="4"/>
  <c r="K12" i="4"/>
  <c r="J12" i="4"/>
  <c r="I12" i="4"/>
  <c r="H12" i="4"/>
  <c r="G12" i="4"/>
  <c r="F12" i="4"/>
  <c r="E12" i="4"/>
  <c r="D12" i="4"/>
  <c r="C12" i="4"/>
  <c r="M11" i="4"/>
  <c r="L11" i="4"/>
  <c r="K11" i="4"/>
  <c r="J11" i="4"/>
  <c r="I11" i="4"/>
  <c r="H11" i="4"/>
  <c r="G11" i="4"/>
  <c r="F11" i="4"/>
  <c r="E11" i="4"/>
  <c r="C11" i="4"/>
  <c r="M10" i="4"/>
  <c r="L10" i="4"/>
  <c r="K10" i="4"/>
  <c r="J10" i="4"/>
  <c r="I10" i="4"/>
  <c r="H10" i="4"/>
  <c r="G10" i="4"/>
  <c r="F10" i="4"/>
  <c r="E10" i="4"/>
  <c r="D10" i="4"/>
  <c r="C10" i="4"/>
  <c r="M9" i="4"/>
  <c r="L9" i="4"/>
  <c r="K9" i="4"/>
  <c r="J9" i="4"/>
  <c r="I9" i="4"/>
  <c r="H9" i="4"/>
  <c r="G9" i="4"/>
  <c r="F9" i="4"/>
  <c r="E9" i="4"/>
  <c r="D9" i="4"/>
  <c r="C9" i="4"/>
  <c r="M8" i="4"/>
  <c r="L8" i="4"/>
  <c r="K8" i="4"/>
  <c r="J8" i="4"/>
  <c r="I8" i="4"/>
  <c r="H8" i="4"/>
  <c r="G8" i="4"/>
  <c r="F8" i="4"/>
  <c r="E8" i="4"/>
  <c r="D8" i="4"/>
  <c r="C8" i="4"/>
  <c r="M7" i="4"/>
  <c r="L7" i="4"/>
  <c r="K7" i="4"/>
  <c r="J7" i="4"/>
  <c r="I7" i="4"/>
  <c r="H7" i="4"/>
  <c r="G7" i="4"/>
  <c r="F7" i="4"/>
  <c r="E7" i="4"/>
  <c r="D7" i="4"/>
  <c r="C7" i="4"/>
  <c r="N3" i="4"/>
  <c r="M3" i="4"/>
  <c r="L3" i="4"/>
  <c r="K3" i="4"/>
  <c r="J3" i="4"/>
  <c r="I3" i="4"/>
  <c r="H3" i="4"/>
  <c r="G3" i="4"/>
  <c r="F3" i="4"/>
  <c r="E3" i="4"/>
  <c r="D3" i="4"/>
  <c r="C3" i="4"/>
  <c r="A3" i="4"/>
  <c r="K211" i="3"/>
  <c r="A4" i="3"/>
  <c r="C4" i="3"/>
  <c r="D4" i="3"/>
  <c r="E4" i="3"/>
  <c r="F4" i="3"/>
  <c r="G4" i="3"/>
  <c r="H4" i="3"/>
  <c r="I4" i="3"/>
  <c r="K4" i="3"/>
  <c r="L4" i="3"/>
  <c r="M4" i="3"/>
  <c r="A5" i="3"/>
  <c r="C5" i="3"/>
  <c r="D5" i="3"/>
  <c r="E5" i="3"/>
  <c r="F5" i="3"/>
  <c r="G5" i="3"/>
  <c r="H5" i="3"/>
  <c r="I5" i="3"/>
  <c r="J5" i="3"/>
  <c r="K5" i="3"/>
  <c r="L5" i="3"/>
  <c r="M5" i="3"/>
  <c r="A6" i="3"/>
  <c r="C6" i="3"/>
  <c r="D6" i="3"/>
  <c r="E6" i="3"/>
  <c r="F6" i="3"/>
  <c r="G6" i="3"/>
  <c r="H6" i="3"/>
  <c r="I6" i="3"/>
  <c r="J6" i="3"/>
  <c r="K6" i="3"/>
  <c r="L6" i="3"/>
  <c r="M6" i="3"/>
  <c r="A7" i="3"/>
  <c r="C7" i="3"/>
  <c r="D7" i="3"/>
  <c r="E7" i="3"/>
  <c r="F7" i="3"/>
  <c r="G7" i="3"/>
  <c r="H7" i="3"/>
  <c r="I7" i="3"/>
  <c r="J7" i="3"/>
  <c r="K7" i="3"/>
  <c r="L7" i="3"/>
  <c r="M7" i="3"/>
  <c r="A8" i="3"/>
  <c r="C8" i="3"/>
  <c r="D8" i="3"/>
  <c r="E8" i="3"/>
  <c r="F8" i="3"/>
  <c r="G8" i="3"/>
  <c r="H8" i="3"/>
  <c r="I8" i="3"/>
  <c r="J8" i="3"/>
  <c r="K8" i="3"/>
  <c r="L8" i="3"/>
  <c r="M8" i="3"/>
  <c r="A9" i="3"/>
  <c r="C9" i="3"/>
  <c r="D9" i="3"/>
  <c r="E9" i="3"/>
  <c r="F9" i="3"/>
  <c r="G9" i="3"/>
  <c r="H9" i="3"/>
  <c r="I9" i="3"/>
  <c r="J9" i="3"/>
  <c r="K9" i="3"/>
  <c r="L9" i="3"/>
  <c r="M9" i="3"/>
  <c r="A10" i="3"/>
  <c r="C10" i="3"/>
  <c r="D10" i="3"/>
  <c r="E10" i="3"/>
  <c r="F10" i="3"/>
  <c r="G10" i="3"/>
  <c r="H10" i="3"/>
  <c r="I10" i="3"/>
  <c r="J10" i="3"/>
  <c r="K10" i="3"/>
  <c r="L10" i="3"/>
  <c r="M10" i="3"/>
  <c r="A11" i="3"/>
  <c r="C11" i="3"/>
  <c r="D11" i="3"/>
  <c r="E11" i="3"/>
  <c r="F11" i="3"/>
  <c r="G11" i="3"/>
  <c r="H11" i="3"/>
  <c r="I11" i="3"/>
  <c r="J11" i="3"/>
  <c r="K11" i="3"/>
  <c r="L11" i="3"/>
  <c r="M11" i="3"/>
  <c r="A12" i="3"/>
  <c r="C12" i="3"/>
  <c r="D12" i="3"/>
  <c r="E12" i="3"/>
  <c r="F12" i="3"/>
  <c r="G12" i="3"/>
  <c r="H12" i="3"/>
  <c r="I12" i="3"/>
  <c r="J12" i="3"/>
  <c r="K12" i="3"/>
  <c r="L12" i="3"/>
  <c r="M12" i="3"/>
  <c r="A13" i="3"/>
  <c r="C13" i="3"/>
  <c r="D13" i="3"/>
  <c r="E13" i="3"/>
  <c r="F13" i="3"/>
  <c r="G13" i="3"/>
  <c r="H13" i="3"/>
  <c r="I13" i="3"/>
  <c r="J13" i="3"/>
  <c r="K13" i="3"/>
  <c r="L13" i="3"/>
  <c r="M13" i="3"/>
  <c r="A14" i="3"/>
  <c r="C14" i="3"/>
  <c r="D14" i="3"/>
  <c r="E14" i="3"/>
  <c r="F14" i="3"/>
  <c r="G14" i="3"/>
  <c r="H14" i="3"/>
  <c r="I14" i="3"/>
  <c r="J14" i="3"/>
  <c r="K14" i="3"/>
  <c r="L14" i="3"/>
  <c r="M14" i="3"/>
  <c r="A15" i="3"/>
  <c r="C15" i="3"/>
  <c r="D15" i="3"/>
  <c r="E15" i="3"/>
  <c r="F15" i="3"/>
  <c r="G15" i="3"/>
  <c r="H15" i="3"/>
  <c r="I15" i="3"/>
  <c r="J15" i="3"/>
  <c r="K15" i="3"/>
  <c r="L15" i="3"/>
  <c r="M15" i="3"/>
  <c r="A16" i="3"/>
  <c r="C16" i="3"/>
  <c r="D16" i="3"/>
  <c r="E16" i="3"/>
  <c r="F16" i="3"/>
  <c r="G16" i="3"/>
  <c r="H16" i="3"/>
  <c r="I16" i="3"/>
  <c r="J16" i="3"/>
  <c r="K16" i="3"/>
  <c r="L16" i="3"/>
  <c r="M16" i="3"/>
  <c r="A17" i="3"/>
  <c r="C17" i="3"/>
  <c r="D17" i="3"/>
  <c r="E17" i="3"/>
  <c r="F17" i="3"/>
  <c r="G17" i="3"/>
  <c r="H17" i="3"/>
  <c r="I17" i="3"/>
  <c r="J17" i="3"/>
  <c r="K17" i="3"/>
  <c r="L17" i="3"/>
  <c r="M17" i="3"/>
  <c r="A18" i="3"/>
  <c r="C18" i="3"/>
  <c r="D18" i="3"/>
  <c r="E18" i="3"/>
  <c r="F18" i="3"/>
  <c r="G18" i="3"/>
  <c r="H18" i="3"/>
  <c r="I18" i="3"/>
  <c r="J18" i="3"/>
  <c r="K18" i="3"/>
  <c r="L18" i="3"/>
  <c r="M18" i="3"/>
  <c r="A19" i="3"/>
  <c r="C19" i="3"/>
  <c r="D19" i="3"/>
  <c r="E19" i="3"/>
  <c r="F19" i="3"/>
  <c r="G19" i="3"/>
  <c r="H19" i="3"/>
  <c r="I19" i="3"/>
  <c r="J19" i="3"/>
  <c r="K19" i="3"/>
  <c r="L19" i="3"/>
  <c r="M19" i="3"/>
  <c r="A20" i="3"/>
  <c r="C20" i="3"/>
  <c r="D20" i="3"/>
  <c r="E20" i="3"/>
  <c r="F20" i="3"/>
  <c r="G20" i="3"/>
  <c r="H20" i="3"/>
  <c r="I20" i="3"/>
  <c r="J20" i="3"/>
  <c r="K20" i="3"/>
  <c r="L20" i="3"/>
  <c r="M20" i="3"/>
  <c r="A21" i="3"/>
  <c r="C21" i="3"/>
  <c r="D21" i="3"/>
  <c r="E21" i="3"/>
  <c r="F21" i="3"/>
  <c r="G21" i="3"/>
  <c r="H21" i="3"/>
  <c r="I21" i="3"/>
  <c r="J21" i="3"/>
  <c r="K21" i="3"/>
  <c r="L21" i="3"/>
  <c r="M21" i="3"/>
  <c r="A22" i="3"/>
  <c r="C22" i="3"/>
  <c r="D22" i="3"/>
  <c r="E22" i="3"/>
  <c r="F22" i="3"/>
  <c r="G22" i="3"/>
  <c r="H22" i="3"/>
  <c r="I22" i="3"/>
  <c r="J22" i="3"/>
  <c r="K22" i="3"/>
  <c r="L22" i="3"/>
  <c r="M22" i="3"/>
  <c r="A23" i="3"/>
  <c r="C23" i="3"/>
  <c r="D23" i="3"/>
  <c r="E23" i="3"/>
  <c r="F23" i="3"/>
  <c r="G23" i="3"/>
  <c r="H23" i="3"/>
  <c r="I23" i="3"/>
  <c r="J23" i="3"/>
  <c r="K23" i="3"/>
  <c r="L23" i="3"/>
  <c r="M23" i="3"/>
  <c r="A24" i="3"/>
  <c r="C24" i="3"/>
  <c r="D24" i="3"/>
  <c r="E24" i="3"/>
  <c r="F24" i="3"/>
  <c r="G24" i="3"/>
  <c r="H24" i="3"/>
  <c r="I24" i="3"/>
  <c r="J24" i="3"/>
  <c r="K24" i="3"/>
  <c r="L24" i="3"/>
  <c r="M24" i="3"/>
  <c r="A25" i="3"/>
  <c r="C25" i="3"/>
  <c r="D25" i="3"/>
  <c r="E25" i="3"/>
  <c r="F25" i="3"/>
  <c r="G25" i="3"/>
  <c r="H25" i="3"/>
  <c r="I25" i="3"/>
  <c r="J25" i="3"/>
  <c r="K25" i="3"/>
  <c r="L25" i="3"/>
  <c r="M25" i="3"/>
  <c r="A26" i="3"/>
  <c r="C26" i="3"/>
  <c r="D26" i="3"/>
  <c r="E26" i="3"/>
  <c r="F26" i="3"/>
  <c r="G26" i="3"/>
  <c r="H26" i="3"/>
  <c r="I26" i="3"/>
  <c r="J26" i="3"/>
  <c r="K26" i="3"/>
  <c r="L26" i="3"/>
  <c r="M26" i="3"/>
  <c r="A27" i="3"/>
  <c r="C27" i="3"/>
  <c r="D27" i="3"/>
  <c r="E27" i="3"/>
  <c r="F27" i="3"/>
  <c r="G27" i="3"/>
  <c r="H27" i="3"/>
  <c r="I27" i="3"/>
  <c r="J27" i="3"/>
  <c r="K27" i="3"/>
  <c r="L27" i="3"/>
  <c r="M27" i="3"/>
  <c r="A28" i="3"/>
  <c r="C28" i="3"/>
  <c r="D28" i="3"/>
  <c r="E28" i="3"/>
  <c r="F28" i="3"/>
  <c r="G28" i="3"/>
  <c r="H28" i="3"/>
  <c r="I28" i="3"/>
  <c r="J28" i="3"/>
  <c r="K28" i="3"/>
  <c r="L28" i="3"/>
  <c r="M28" i="3"/>
  <c r="A29" i="3"/>
  <c r="C29" i="3"/>
  <c r="D29" i="3"/>
  <c r="E29" i="3"/>
  <c r="F29" i="3"/>
  <c r="G29" i="3"/>
  <c r="H29" i="3"/>
  <c r="I29" i="3"/>
  <c r="J29" i="3"/>
  <c r="K29" i="3"/>
  <c r="L29" i="3"/>
  <c r="M29" i="3"/>
  <c r="A30" i="3"/>
  <c r="C30" i="3"/>
  <c r="D30" i="3"/>
  <c r="E30" i="3"/>
  <c r="F30" i="3"/>
  <c r="G30" i="3"/>
  <c r="H30" i="3"/>
  <c r="I30" i="3"/>
  <c r="J30" i="3"/>
  <c r="K30" i="3"/>
  <c r="L30" i="3"/>
  <c r="M30" i="3"/>
  <c r="A31" i="3"/>
  <c r="C31" i="3"/>
  <c r="D31" i="3"/>
  <c r="E31" i="3"/>
  <c r="F31" i="3"/>
  <c r="G31" i="3"/>
  <c r="H31" i="3"/>
  <c r="I31" i="3"/>
  <c r="J31" i="3"/>
  <c r="K31" i="3"/>
  <c r="L31" i="3"/>
  <c r="M31" i="3"/>
  <c r="A32" i="3"/>
  <c r="C32" i="3"/>
  <c r="D32" i="3"/>
  <c r="E32" i="3"/>
  <c r="F32" i="3"/>
  <c r="G32" i="3"/>
  <c r="H32" i="3"/>
  <c r="I32" i="3"/>
  <c r="J32" i="3"/>
  <c r="K32" i="3"/>
  <c r="L32" i="3"/>
  <c r="M32" i="3"/>
  <c r="A33" i="3"/>
  <c r="C33" i="3"/>
  <c r="D33" i="3"/>
  <c r="E33" i="3"/>
  <c r="F33" i="3"/>
  <c r="G33" i="3"/>
  <c r="H33" i="3"/>
  <c r="I33" i="3"/>
  <c r="J33" i="3"/>
  <c r="K33" i="3"/>
  <c r="L33" i="3"/>
  <c r="M33" i="3"/>
  <c r="A34" i="3"/>
  <c r="C34" i="3"/>
  <c r="D34" i="3"/>
  <c r="E34" i="3"/>
  <c r="F34" i="3"/>
  <c r="G34" i="3"/>
  <c r="H34" i="3"/>
  <c r="I34" i="3"/>
  <c r="J34" i="3"/>
  <c r="K34" i="3"/>
  <c r="L34" i="3"/>
  <c r="M34" i="3"/>
  <c r="A35" i="3"/>
  <c r="C35" i="3"/>
  <c r="D35" i="3"/>
  <c r="E35" i="3"/>
  <c r="F35" i="3"/>
  <c r="G35" i="3"/>
  <c r="H35" i="3"/>
  <c r="I35" i="3"/>
  <c r="J35" i="3"/>
  <c r="K35" i="3"/>
  <c r="L35" i="3"/>
  <c r="M35" i="3"/>
  <c r="A36" i="3"/>
  <c r="C36" i="3"/>
  <c r="D36" i="3"/>
  <c r="E36" i="3"/>
  <c r="F36" i="3"/>
  <c r="G36" i="3"/>
  <c r="H36" i="3"/>
  <c r="I36" i="3"/>
  <c r="J36" i="3"/>
  <c r="K36" i="3"/>
  <c r="L36" i="3"/>
  <c r="M36" i="3"/>
  <c r="A37" i="3"/>
  <c r="C37" i="3"/>
  <c r="D37" i="3"/>
  <c r="E37" i="3"/>
  <c r="F37" i="3"/>
  <c r="G37" i="3"/>
  <c r="H37" i="3"/>
  <c r="I37" i="3"/>
  <c r="J37" i="3"/>
  <c r="K37" i="3"/>
  <c r="L37" i="3"/>
  <c r="M37" i="3"/>
  <c r="A38" i="3"/>
  <c r="C38" i="3"/>
  <c r="D38" i="3"/>
  <c r="E38" i="3"/>
  <c r="F38" i="3"/>
  <c r="G38" i="3"/>
  <c r="H38" i="3"/>
  <c r="I38" i="3"/>
  <c r="J38" i="3"/>
  <c r="K38" i="3"/>
  <c r="L38" i="3"/>
  <c r="M38" i="3"/>
  <c r="A39" i="3"/>
  <c r="C39" i="3"/>
  <c r="D39" i="3"/>
  <c r="E39" i="3"/>
  <c r="F39" i="3"/>
  <c r="G39" i="3"/>
  <c r="H39" i="3"/>
  <c r="I39" i="3"/>
  <c r="J39" i="3"/>
  <c r="K39" i="3"/>
  <c r="L39" i="3"/>
  <c r="M39" i="3"/>
  <c r="A40" i="3"/>
  <c r="C40" i="3"/>
  <c r="D40" i="3"/>
  <c r="E40" i="3"/>
  <c r="F40" i="3"/>
  <c r="G40" i="3"/>
  <c r="H40" i="3"/>
  <c r="I40" i="3"/>
  <c r="J40" i="3"/>
  <c r="K40" i="3"/>
  <c r="L40" i="3"/>
  <c r="M40" i="3"/>
  <c r="A41" i="3"/>
  <c r="C41" i="3"/>
  <c r="D41" i="3"/>
  <c r="E41" i="3"/>
  <c r="F41" i="3"/>
  <c r="G41" i="3"/>
  <c r="H41" i="3"/>
  <c r="I41" i="3"/>
  <c r="J41" i="3"/>
  <c r="K41" i="3"/>
  <c r="L41" i="3"/>
  <c r="M41" i="3"/>
  <c r="A42" i="3"/>
  <c r="C42" i="3"/>
  <c r="D42" i="3"/>
  <c r="E42" i="3"/>
  <c r="F42" i="3"/>
  <c r="G42" i="3"/>
  <c r="H42" i="3"/>
  <c r="I42" i="3"/>
  <c r="J42" i="3"/>
  <c r="K42" i="3"/>
  <c r="L42" i="3"/>
  <c r="M42" i="3"/>
  <c r="A43" i="3"/>
  <c r="C43" i="3"/>
  <c r="D43" i="3"/>
  <c r="E43" i="3"/>
  <c r="F43" i="3"/>
  <c r="G43" i="3"/>
  <c r="H43" i="3"/>
  <c r="I43" i="3"/>
  <c r="J43" i="3"/>
  <c r="K43" i="3"/>
  <c r="L43" i="3"/>
  <c r="M43" i="3"/>
  <c r="A44" i="3"/>
  <c r="C44" i="3"/>
  <c r="D44" i="3"/>
  <c r="E44" i="3"/>
  <c r="F44" i="3"/>
  <c r="G44" i="3"/>
  <c r="H44" i="3"/>
  <c r="I44" i="3"/>
  <c r="J44" i="3"/>
  <c r="K44" i="3"/>
  <c r="L44" i="3"/>
  <c r="M44" i="3"/>
  <c r="A45" i="3"/>
  <c r="C45" i="3"/>
  <c r="D45" i="3"/>
  <c r="E45" i="3"/>
  <c r="F45" i="3"/>
  <c r="G45" i="3"/>
  <c r="H45" i="3"/>
  <c r="I45" i="3"/>
  <c r="J45" i="3"/>
  <c r="K45" i="3"/>
  <c r="L45" i="3"/>
  <c r="M45" i="3"/>
  <c r="A46" i="3"/>
  <c r="C46" i="3"/>
  <c r="D46" i="3"/>
  <c r="E46" i="3"/>
  <c r="F46" i="3"/>
  <c r="G46" i="3"/>
  <c r="H46" i="3"/>
  <c r="I46" i="3"/>
  <c r="J46" i="3"/>
  <c r="K46" i="3"/>
  <c r="L46" i="3"/>
  <c r="M46" i="3"/>
  <c r="A47" i="3"/>
  <c r="C47" i="3"/>
  <c r="D47" i="3"/>
  <c r="E47" i="3"/>
  <c r="F47" i="3"/>
  <c r="G47" i="3"/>
  <c r="H47" i="3"/>
  <c r="I47" i="3"/>
  <c r="J47" i="3"/>
  <c r="K47" i="3"/>
  <c r="L47" i="3"/>
  <c r="M47" i="3"/>
  <c r="A48" i="3"/>
  <c r="C48" i="3"/>
  <c r="D48" i="3"/>
  <c r="E48" i="3"/>
  <c r="F48" i="3"/>
  <c r="G48" i="3"/>
  <c r="H48" i="3"/>
  <c r="I48" i="3"/>
  <c r="J48" i="3"/>
  <c r="K48" i="3"/>
  <c r="L48" i="3"/>
  <c r="M48" i="3"/>
  <c r="A49" i="3"/>
  <c r="C49" i="3"/>
  <c r="D49" i="3"/>
  <c r="E49" i="3"/>
  <c r="F49" i="3"/>
  <c r="G49" i="3"/>
  <c r="H49" i="3"/>
  <c r="I49" i="3"/>
  <c r="J49" i="3"/>
  <c r="K49" i="3"/>
  <c r="L49" i="3"/>
  <c r="M49" i="3"/>
  <c r="A50" i="3"/>
  <c r="C50" i="3"/>
  <c r="D50" i="3"/>
  <c r="E50" i="3"/>
  <c r="F50" i="3"/>
  <c r="G50" i="3"/>
  <c r="H50" i="3"/>
  <c r="I50" i="3"/>
  <c r="J50" i="3"/>
  <c r="K50" i="3"/>
  <c r="L50" i="3"/>
  <c r="M50" i="3"/>
  <c r="A51" i="3"/>
  <c r="C51" i="3"/>
  <c r="D51" i="3"/>
  <c r="E51" i="3"/>
  <c r="F51" i="3"/>
  <c r="G51" i="3"/>
  <c r="H51" i="3"/>
  <c r="I51" i="3"/>
  <c r="J51" i="3"/>
  <c r="K51" i="3"/>
  <c r="L51" i="3"/>
  <c r="M51" i="3"/>
  <c r="A52" i="3"/>
  <c r="C52" i="3"/>
  <c r="D52" i="3"/>
  <c r="E52" i="3"/>
  <c r="F52" i="3"/>
  <c r="G52" i="3"/>
  <c r="H52" i="3"/>
  <c r="I52" i="3"/>
  <c r="J52" i="3"/>
  <c r="K52" i="3"/>
  <c r="L52" i="3"/>
  <c r="M52" i="3"/>
  <c r="A53" i="3"/>
  <c r="C53" i="3"/>
  <c r="D53" i="3"/>
  <c r="E53" i="3"/>
  <c r="F53" i="3"/>
  <c r="G53" i="3"/>
  <c r="H53" i="3"/>
  <c r="I53" i="3"/>
  <c r="J53" i="3"/>
  <c r="K53" i="3"/>
  <c r="L53" i="3"/>
  <c r="M53" i="3"/>
  <c r="A54" i="3"/>
  <c r="C54" i="3"/>
  <c r="D54" i="3"/>
  <c r="E54" i="3"/>
  <c r="F54" i="3"/>
  <c r="G54" i="3"/>
  <c r="H54" i="3"/>
  <c r="I54" i="3"/>
  <c r="J54" i="3"/>
  <c r="K54" i="3"/>
  <c r="L54" i="3"/>
  <c r="M54" i="3"/>
  <c r="A55" i="3"/>
  <c r="C55" i="3"/>
  <c r="D55" i="3"/>
  <c r="E55" i="3"/>
  <c r="F55" i="3"/>
  <c r="G55" i="3"/>
  <c r="H55" i="3"/>
  <c r="I55" i="3"/>
  <c r="J55" i="3"/>
  <c r="K55" i="3"/>
  <c r="L55" i="3"/>
  <c r="M55" i="3"/>
  <c r="A56" i="3"/>
  <c r="C56" i="3"/>
  <c r="D56" i="3"/>
  <c r="E56" i="3"/>
  <c r="F56" i="3"/>
  <c r="G56" i="3"/>
  <c r="H56" i="3"/>
  <c r="I56" i="3"/>
  <c r="J56" i="3"/>
  <c r="K56" i="3"/>
  <c r="L56" i="3"/>
  <c r="M56" i="3"/>
  <c r="A57" i="3"/>
  <c r="C57" i="3"/>
  <c r="D57" i="3"/>
  <c r="E57" i="3"/>
  <c r="F57" i="3"/>
  <c r="G57" i="3"/>
  <c r="H57" i="3"/>
  <c r="I57" i="3"/>
  <c r="J57" i="3"/>
  <c r="K57" i="3"/>
  <c r="L57" i="3"/>
  <c r="M57" i="3"/>
  <c r="A58" i="3"/>
  <c r="C58" i="3"/>
  <c r="D58" i="3"/>
  <c r="E58" i="3"/>
  <c r="F58" i="3"/>
  <c r="G58" i="3"/>
  <c r="H58" i="3"/>
  <c r="I58" i="3"/>
  <c r="J58" i="3"/>
  <c r="K58" i="3"/>
  <c r="L58" i="3"/>
  <c r="M58" i="3"/>
  <c r="A59" i="3"/>
  <c r="C59" i="3"/>
  <c r="D59" i="3"/>
  <c r="E59" i="3"/>
  <c r="F59" i="3"/>
  <c r="G59" i="3"/>
  <c r="H59" i="3"/>
  <c r="I59" i="3"/>
  <c r="J59" i="3"/>
  <c r="K59" i="3"/>
  <c r="L59" i="3"/>
  <c r="M59" i="3"/>
  <c r="A60" i="3"/>
  <c r="C60" i="3"/>
  <c r="D60" i="3"/>
  <c r="E60" i="3"/>
  <c r="F60" i="3"/>
  <c r="G60" i="3"/>
  <c r="H60" i="3"/>
  <c r="I60" i="3"/>
  <c r="J60" i="3"/>
  <c r="K60" i="3"/>
  <c r="L60" i="3"/>
  <c r="M60" i="3"/>
  <c r="A61" i="3"/>
  <c r="C61" i="3"/>
  <c r="D61" i="3"/>
  <c r="E61" i="3"/>
  <c r="F61" i="3"/>
  <c r="G61" i="3"/>
  <c r="H61" i="3"/>
  <c r="I61" i="3"/>
  <c r="J61" i="3"/>
  <c r="K61" i="3"/>
  <c r="L61" i="3"/>
  <c r="M61" i="3"/>
  <c r="A62" i="3"/>
  <c r="C62" i="3"/>
  <c r="D62" i="3"/>
  <c r="E62" i="3"/>
  <c r="F62" i="3"/>
  <c r="G62" i="3"/>
  <c r="H62" i="3"/>
  <c r="I62" i="3"/>
  <c r="J62" i="3"/>
  <c r="K62" i="3"/>
  <c r="L62" i="3"/>
  <c r="M62" i="3"/>
  <c r="A63" i="3"/>
  <c r="C63" i="3"/>
  <c r="D63" i="3"/>
  <c r="E63" i="3"/>
  <c r="F63" i="3"/>
  <c r="G63" i="3"/>
  <c r="H63" i="3"/>
  <c r="I63" i="3"/>
  <c r="J63" i="3"/>
  <c r="K63" i="3"/>
  <c r="L63" i="3"/>
  <c r="M63" i="3"/>
  <c r="A64" i="3"/>
  <c r="C64" i="3"/>
  <c r="D64" i="3"/>
  <c r="E64" i="3"/>
  <c r="F64" i="3"/>
  <c r="G64" i="3"/>
  <c r="H64" i="3"/>
  <c r="I64" i="3"/>
  <c r="J64" i="3"/>
  <c r="K64" i="3"/>
  <c r="L64" i="3"/>
  <c r="M64" i="3"/>
  <c r="A65" i="3"/>
  <c r="C65" i="3"/>
  <c r="D65" i="3"/>
  <c r="E65" i="3"/>
  <c r="F65" i="3"/>
  <c r="G65" i="3"/>
  <c r="H65" i="3"/>
  <c r="I65" i="3"/>
  <c r="J65" i="3"/>
  <c r="K65" i="3"/>
  <c r="L65" i="3"/>
  <c r="M65" i="3"/>
  <c r="A66" i="3"/>
  <c r="C66" i="3"/>
  <c r="D66" i="3"/>
  <c r="E66" i="3"/>
  <c r="F66" i="3"/>
  <c r="G66" i="3"/>
  <c r="H66" i="3"/>
  <c r="I66" i="3"/>
  <c r="J66" i="3"/>
  <c r="K66" i="3"/>
  <c r="L66" i="3"/>
  <c r="M66" i="3"/>
  <c r="A67" i="3"/>
  <c r="C67" i="3"/>
  <c r="D67" i="3"/>
  <c r="E67" i="3"/>
  <c r="F67" i="3"/>
  <c r="G67" i="3"/>
  <c r="H67" i="3"/>
  <c r="I67" i="3"/>
  <c r="J67" i="3"/>
  <c r="K67" i="3"/>
  <c r="L67" i="3"/>
  <c r="M67" i="3"/>
  <c r="A68" i="3"/>
  <c r="C68" i="3"/>
  <c r="D68" i="3"/>
  <c r="E68" i="3"/>
  <c r="F68" i="3"/>
  <c r="G68" i="3"/>
  <c r="H68" i="3"/>
  <c r="I68" i="3"/>
  <c r="J68" i="3"/>
  <c r="K68" i="3"/>
  <c r="L68" i="3"/>
  <c r="M68" i="3"/>
  <c r="A69" i="3"/>
  <c r="C69" i="3"/>
  <c r="D69" i="3"/>
  <c r="E69" i="3"/>
  <c r="F69" i="3"/>
  <c r="G69" i="3"/>
  <c r="H69" i="3"/>
  <c r="I69" i="3"/>
  <c r="J69" i="3"/>
  <c r="K69" i="3"/>
  <c r="L69" i="3"/>
  <c r="M69" i="3"/>
  <c r="A70" i="3"/>
  <c r="C70" i="3"/>
  <c r="D70" i="3"/>
  <c r="E70" i="3"/>
  <c r="F70" i="3"/>
  <c r="G70" i="3"/>
  <c r="H70" i="3"/>
  <c r="I70" i="3"/>
  <c r="J70" i="3"/>
  <c r="K70" i="3"/>
  <c r="L70" i="3"/>
  <c r="M70" i="3"/>
  <c r="A71" i="3"/>
  <c r="C71" i="3"/>
  <c r="D71" i="3"/>
  <c r="E71" i="3"/>
  <c r="F71" i="3"/>
  <c r="G71" i="3"/>
  <c r="H71" i="3"/>
  <c r="I71" i="3"/>
  <c r="J71" i="3"/>
  <c r="K71" i="3"/>
  <c r="L71" i="3"/>
  <c r="M71" i="3"/>
  <c r="A72" i="3"/>
  <c r="C72" i="3"/>
  <c r="D72" i="3"/>
  <c r="E72" i="3"/>
  <c r="F72" i="3"/>
  <c r="G72" i="3"/>
  <c r="H72" i="3"/>
  <c r="I72" i="3"/>
  <c r="J72" i="3"/>
  <c r="K72" i="3"/>
  <c r="L72" i="3"/>
  <c r="M72" i="3"/>
  <c r="A73" i="3"/>
  <c r="C73" i="3"/>
  <c r="D73" i="3"/>
  <c r="E73" i="3"/>
  <c r="F73" i="3"/>
  <c r="G73" i="3"/>
  <c r="H73" i="3"/>
  <c r="I73" i="3"/>
  <c r="J73" i="3"/>
  <c r="K73" i="3"/>
  <c r="L73" i="3"/>
  <c r="M73" i="3"/>
  <c r="A74" i="3"/>
  <c r="C74" i="3"/>
  <c r="D74" i="3"/>
  <c r="E74" i="3"/>
  <c r="F74" i="3"/>
  <c r="G74" i="3"/>
  <c r="H74" i="3"/>
  <c r="I74" i="3"/>
  <c r="J74" i="3"/>
  <c r="K74" i="3"/>
  <c r="L74" i="3"/>
  <c r="M74" i="3"/>
  <c r="A75" i="3"/>
  <c r="C75" i="3"/>
  <c r="D75" i="3"/>
  <c r="E75" i="3"/>
  <c r="F75" i="3"/>
  <c r="G75" i="3"/>
  <c r="H75" i="3"/>
  <c r="I75" i="3"/>
  <c r="J75" i="3"/>
  <c r="K75" i="3"/>
  <c r="L75" i="3"/>
  <c r="M75" i="3"/>
  <c r="A76" i="3"/>
  <c r="C76" i="3"/>
  <c r="D76" i="3"/>
  <c r="E76" i="3"/>
  <c r="F76" i="3"/>
  <c r="G76" i="3"/>
  <c r="H76" i="3"/>
  <c r="I76" i="3"/>
  <c r="J76" i="3"/>
  <c r="K76" i="3"/>
  <c r="L76" i="3"/>
  <c r="M76" i="3"/>
  <c r="A77" i="3"/>
  <c r="C77" i="3"/>
  <c r="D77" i="3"/>
  <c r="E77" i="3"/>
  <c r="F77" i="3"/>
  <c r="G77" i="3"/>
  <c r="H77" i="3"/>
  <c r="I77" i="3"/>
  <c r="J77" i="3"/>
  <c r="K77" i="3"/>
  <c r="L77" i="3"/>
  <c r="M77" i="3"/>
  <c r="A78" i="3"/>
  <c r="C78" i="3"/>
  <c r="D78" i="3"/>
  <c r="E78" i="3"/>
  <c r="F78" i="3"/>
  <c r="G78" i="3"/>
  <c r="H78" i="3"/>
  <c r="I78" i="3"/>
  <c r="J78" i="3"/>
  <c r="K78" i="3"/>
  <c r="L78" i="3"/>
  <c r="M78" i="3"/>
  <c r="A79" i="3"/>
  <c r="C79" i="3"/>
  <c r="D79" i="3"/>
  <c r="E79" i="3"/>
  <c r="F79" i="3"/>
  <c r="G79" i="3"/>
  <c r="H79" i="3"/>
  <c r="I79" i="3"/>
  <c r="J79" i="3"/>
  <c r="K79" i="3"/>
  <c r="L79" i="3"/>
  <c r="M79" i="3"/>
  <c r="A80" i="3"/>
  <c r="C80" i="3"/>
  <c r="D80" i="3"/>
  <c r="E80" i="3"/>
  <c r="F80" i="3"/>
  <c r="G80" i="3"/>
  <c r="H80" i="3"/>
  <c r="I80" i="3"/>
  <c r="J80" i="3"/>
  <c r="K80" i="3"/>
  <c r="L80" i="3"/>
  <c r="M80" i="3"/>
  <c r="A81" i="3"/>
  <c r="C81" i="3"/>
  <c r="D81" i="3"/>
  <c r="E81" i="3"/>
  <c r="F81" i="3"/>
  <c r="G81" i="3"/>
  <c r="H81" i="3"/>
  <c r="I81" i="3"/>
  <c r="J81" i="3"/>
  <c r="K81" i="3"/>
  <c r="L81" i="3"/>
  <c r="M81" i="3"/>
  <c r="A82" i="3"/>
  <c r="C82" i="3"/>
  <c r="D82" i="3"/>
  <c r="E82" i="3"/>
  <c r="F82" i="3"/>
  <c r="G82" i="3"/>
  <c r="H82" i="3"/>
  <c r="I82" i="3"/>
  <c r="J82" i="3"/>
  <c r="K82" i="3"/>
  <c r="L82" i="3"/>
  <c r="M82" i="3"/>
  <c r="A83" i="3"/>
  <c r="C83" i="3"/>
  <c r="D83" i="3"/>
  <c r="E83" i="3"/>
  <c r="F83" i="3"/>
  <c r="G83" i="3"/>
  <c r="H83" i="3"/>
  <c r="I83" i="3"/>
  <c r="J83" i="3"/>
  <c r="K83" i="3"/>
  <c r="L83" i="3"/>
  <c r="M83" i="3"/>
  <c r="A84" i="3"/>
  <c r="C84" i="3"/>
  <c r="D84" i="3"/>
  <c r="E84" i="3"/>
  <c r="F84" i="3"/>
  <c r="G84" i="3"/>
  <c r="H84" i="3"/>
  <c r="I84" i="3"/>
  <c r="J84" i="3"/>
  <c r="K84" i="3"/>
  <c r="L84" i="3"/>
  <c r="M84" i="3"/>
  <c r="A85" i="3"/>
  <c r="C85" i="3"/>
  <c r="D85" i="3"/>
  <c r="E85" i="3"/>
  <c r="F85" i="3"/>
  <c r="G85" i="3"/>
  <c r="H85" i="3"/>
  <c r="I85" i="3"/>
  <c r="J85" i="3"/>
  <c r="K85" i="3"/>
  <c r="L85" i="3"/>
  <c r="M85" i="3"/>
  <c r="A86" i="3"/>
  <c r="C86" i="3"/>
  <c r="D86" i="3"/>
  <c r="E86" i="3"/>
  <c r="F86" i="3"/>
  <c r="G86" i="3"/>
  <c r="H86" i="3"/>
  <c r="I86" i="3"/>
  <c r="J86" i="3"/>
  <c r="K86" i="3"/>
  <c r="L86" i="3"/>
  <c r="M86" i="3"/>
  <c r="A87" i="3"/>
  <c r="C87" i="3"/>
  <c r="D87" i="3"/>
  <c r="E87" i="3"/>
  <c r="F87" i="3"/>
  <c r="G87" i="3"/>
  <c r="H87" i="3"/>
  <c r="I87" i="3"/>
  <c r="J87" i="3"/>
  <c r="K87" i="3"/>
  <c r="L87" i="3"/>
  <c r="M87" i="3"/>
  <c r="A88" i="3"/>
  <c r="C88" i="3"/>
  <c r="D88" i="3"/>
  <c r="E88" i="3"/>
  <c r="F88" i="3"/>
  <c r="G88" i="3"/>
  <c r="H88" i="3"/>
  <c r="I88" i="3"/>
  <c r="J88" i="3"/>
  <c r="K88" i="3"/>
  <c r="L88" i="3"/>
  <c r="M88" i="3"/>
  <c r="A89" i="3"/>
  <c r="C89" i="3"/>
  <c r="D89" i="3"/>
  <c r="E89" i="3"/>
  <c r="F89" i="3"/>
  <c r="G89" i="3"/>
  <c r="H89" i="3"/>
  <c r="I89" i="3"/>
  <c r="J89" i="3"/>
  <c r="K89" i="3"/>
  <c r="L89" i="3"/>
  <c r="M89" i="3"/>
  <c r="A90" i="3"/>
  <c r="C90" i="3"/>
  <c r="D90" i="3"/>
  <c r="E90" i="3"/>
  <c r="F90" i="3"/>
  <c r="G90" i="3"/>
  <c r="H90" i="3"/>
  <c r="I90" i="3"/>
  <c r="J90" i="3"/>
  <c r="K90" i="3"/>
  <c r="L90" i="3"/>
  <c r="M90" i="3"/>
  <c r="A91" i="3"/>
  <c r="C91" i="3"/>
  <c r="D91" i="3"/>
  <c r="E91" i="3"/>
  <c r="F91" i="3"/>
  <c r="G91" i="3"/>
  <c r="H91" i="3"/>
  <c r="I91" i="3"/>
  <c r="J91" i="3"/>
  <c r="K91" i="3"/>
  <c r="L91" i="3"/>
  <c r="M91" i="3"/>
  <c r="A92" i="3"/>
  <c r="C92" i="3"/>
  <c r="D92" i="3"/>
  <c r="E92" i="3"/>
  <c r="F92" i="3"/>
  <c r="G92" i="3"/>
  <c r="H92" i="3"/>
  <c r="I92" i="3"/>
  <c r="J92" i="3"/>
  <c r="K92" i="3"/>
  <c r="L92" i="3"/>
  <c r="M92" i="3"/>
  <c r="A93" i="3"/>
  <c r="C93" i="3"/>
  <c r="D93" i="3"/>
  <c r="E93" i="3"/>
  <c r="F93" i="3"/>
  <c r="G93" i="3"/>
  <c r="H93" i="3"/>
  <c r="I93" i="3"/>
  <c r="J93" i="3"/>
  <c r="K93" i="3"/>
  <c r="L93" i="3"/>
  <c r="M93" i="3"/>
  <c r="A94" i="3"/>
  <c r="C94" i="3"/>
  <c r="D94" i="3"/>
  <c r="E94" i="3"/>
  <c r="F94" i="3"/>
  <c r="G94" i="3"/>
  <c r="H94" i="3"/>
  <c r="I94" i="3"/>
  <c r="J94" i="3"/>
  <c r="K94" i="3"/>
  <c r="L94" i="3"/>
  <c r="M94" i="3"/>
  <c r="A95" i="3"/>
  <c r="C95" i="3"/>
  <c r="D95" i="3"/>
  <c r="E95" i="3"/>
  <c r="F95" i="3"/>
  <c r="G95" i="3"/>
  <c r="H95" i="3"/>
  <c r="I95" i="3"/>
  <c r="J95" i="3"/>
  <c r="K95" i="3"/>
  <c r="L95" i="3"/>
  <c r="M95" i="3"/>
  <c r="A96" i="3"/>
  <c r="C96" i="3"/>
  <c r="D96" i="3"/>
  <c r="E96" i="3"/>
  <c r="F96" i="3"/>
  <c r="G96" i="3"/>
  <c r="H96" i="3"/>
  <c r="I96" i="3"/>
  <c r="J96" i="3"/>
  <c r="K96" i="3"/>
  <c r="L96" i="3"/>
  <c r="M96" i="3"/>
  <c r="A97" i="3"/>
  <c r="C97" i="3"/>
  <c r="D97" i="3"/>
  <c r="E97" i="3"/>
  <c r="F97" i="3"/>
  <c r="G97" i="3"/>
  <c r="H97" i="3"/>
  <c r="I97" i="3"/>
  <c r="J97" i="3"/>
  <c r="K97" i="3"/>
  <c r="L97" i="3"/>
  <c r="M97" i="3"/>
  <c r="A98" i="3"/>
  <c r="C98" i="3"/>
  <c r="D98" i="3"/>
  <c r="E98" i="3"/>
  <c r="F98" i="3"/>
  <c r="G98" i="3"/>
  <c r="H98" i="3"/>
  <c r="I98" i="3"/>
  <c r="J98" i="3"/>
  <c r="K98" i="3"/>
  <c r="L98" i="3"/>
  <c r="M98" i="3"/>
  <c r="A99" i="3"/>
  <c r="C99" i="3"/>
  <c r="D99" i="3"/>
  <c r="E99" i="3"/>
  <c r="F99" i="3"/>
  <c r="G99" i="3"/>
  <c r="H99" i="3"/>
  <c r="I99" i="3"/>
  <c r="J99" i="3"/>
  <c r="K99" i="3"/>
  <c r="L99" i="3"/>
  <c r="M99" i="3"/>
  <c r="A100" i="3"/>
  <c r="C100" i="3"/>
  <c r="D100" i="3"/>
  <c r="E100" i="3"/>
  <c r="F100" i="3"/>
  <c r="G100" i="3"/>
  <c r="H100" i="3"/>
  <c r="I100" i="3"/>
  <c r="J100" i="3"/>
  <c r="K100" i="3"/>
  <c r="L100" i="3"/>
  <c r="M100" i="3"/>
  <c r="A101" i="3"/>
  <c r="C101" i="3"/>
  <c r="D101" i="3"/>
  <c r="E101" i="3"/>
  <c r="F101" i="3"/>
  <c r="G101" i="3"/>
  <c r="H101" i="3"/>
  <c r="I101" i="3"/>
  <c r="J101" i="3"/>
  <c r="K101" i="3"/>
  <c r="L101" i="3"/>
  <c r="M101" i="3"/>
  <c r="A102" i="3"/>
  <c r="C102" i="3"/>
  <c r="D102" i="3"/>
  <c r="E102" i="3"/>
  <c r="F102" i="3"/>
  <c r="G102" i="3"/>
  <c r="H102" i="3"/>
  <c r="I102" i="3"/>
  <c r="J102" i="3"/>
  <c r="K102" i="3"/>
  <c r="L102" i="3"/>
  <c r="M102" i="3"/>
  <c r="A103" i="3"/>
  <c r="C103" i="3"/>
  <c r="D103" i="3"/>
  <c r="E103" i="3"/>
  <c r="F103" i="3"/>
  <c r="G103" i="3"/>
  <c r="H103" i="3"/>
  <c r="I103" i="3"/>
  <c r="J103" i="3"/>
  <c r="K103" i="3"/>
  <c r="L103" i="3"/>
  <c r="M103" i="3"/>
  <c r="A104" i="3"/>
  <c r="C104" i="3"/>
  <c r="D104" i="3"/>
  <c r="E104" i="3"/>
  <c r="F104" i="3"/>
  <c r="G104" i="3"/>
  <c r="H104" i="3"/>
  <c r="I104" i="3"/>
  <c r="J104" i="3"/>
  <c r="K104" i="3"/>
  <c r="L104" i="3"/>
  <c r="M104" i="3"/>
  <c r="A105" i="3"/>
  <c r="C105" i="3"/>
  <c r="D105" i="3"/>
  <c r="E105" i="3"/>
  <c r="F105" i="3"/>
  <c r="G105" i="3"/>
  <c r="H105" i="3"/>
  <c r="I105" i="3"/>
  <c r="J105" i="3"/>
  <c r="K105" i="3"/>
  <c r="L105" i="3"/>
  <c r="M105" i="3"/>
  <c r="A106" i="3"/>
  <c r="C106" i="3"/>
  <c r="D106" i="3"/>
  <c r="E106" i="3"/>
  <c r="F106" i="3"/>
  <c r="G106" i="3"/>
  <c r="H106" i="3"/>
  <c r="I106" i="3"/>
  <c r="J106" i="3"/>
  <c r="K106" i="3"/>
  <c r="L106" i="3"/>
  <c r="M106" i="3"/>
  <c r="A107" i="3"/>
  <c r="C107" i="3"/>
  <c r="D107" i="3"/>
  <c r="E107" i="3"/>
  <c r="F107" i="3"/>
  <c r="G107" i="3"/>
  <c r="H107" i="3"/>
  <c r="I107" i="3"/>
  <c r="J107" i="3"/>
  <c r="K107" i="3"/>
  <c r="L107" i="3"/>
  <c r="M107" i="3"/>
  <c r="A108" i="3"/>
  <c r="C108" i="3"/>
  <c r="D108" i="3"/>
  <c r="E108" i="3"/>
  <c r="F108" i="3"/>
  <c r="G108" i="3"/>
  <c r="H108" i="3"/>
  <c r="I108" i="3"/>
  <c r="J108" i="3"/>
  <c r="K108" i="3"/>
  <c r="L108" i="3"/>
  <c r="M108" i="3"/>
  <c r="A109" i="3"/>
  <c r="C109" i="3"/>
  <c r="D109" i="3"/>
  <c r="E109" i="3"/>
  <c r="F109" i="3"/>
  <c r="G109" i="3"/>
  <c r="H109" i="3"/>
  <c r="I109" i="3"/>
  <c r="J109" i="3"/>
  <c r="K109" i="3"/>
  <c r="L109" i="3"/>
  <c r="M109" i="3"/>
  <c r="A110" i="3"/>
  <c r="C110" i="3"/>
  <c r="D110" i="3"/>
  <c r="E110" i="3"/>
  <c r="F110" i="3"/>
  <c r="G110" i="3"/>
  <c r="H110" i="3"/>
  <c r="I110" i="3"/>
  <c r="J110" i="3"/>
  <c r="K110" i="3"/>
  <c r="L110" i="3"/>
  <c r="M110" i="3"/>
  <c r="A111" i="3"/>
  <c r="C111" i="3"/>
  <c r="D111" i="3"/>
  <c r="E111" i="3"/>
  <c r="F111" i="3"/>
  <c r="G111" i="3"/>
  <c r="H111" i="3"/>
  <c r="I111" i="3"/>
  <c r="J111" i="3"/>
  <c r="K111" i="3"/>
  <c r="L111" i="3"/>
  <c r="M111" i="3"/>
  <c r="A112" i="3"/>
  <c r="C112" i="3"/>
  <c r="D112" i="3"/>
  <c r="E112" i="3"/>
  <c r="F112" i="3"/>
  <c r="G112" i="3"/>
  <c r="H112" i="3"/>
  <c r="I112" i="3"/>
  <c r="J112" i="3"/>
  <c r="K112" i="3"/>
  <c r="L112" i="3"/>
  <c r="M112" i="3"/>
  <c r="A113" i="3"/>
  <c r="C113" i="3"/>
  <c r="D113" i="3"/>
  <c r="E113" i="3"/>
  <c r="F113" i="3"/>
  <c r="G113" i="3"/>
  <c r="H113" i="3"/>
  <c r="I113" i="3"/>
  <c r="J113" i="3"/>
  <c r="K113" i="3"/>
  <c r="L113" i="3"/>
  <c r="M113" i="3"/>
  <c r="A114" i="3"/>
  <c r="C114" i="3"/>
  <c r="D114" i="3"/>
  <c r="E114" i="3"/>
  <c r="F114" i="3"/>
  <c r="G114" i="3"/>
  <c r="H114" i="3"/>
  <c r="I114" i="3"/>
  <c r="J114" i="3"/>
  <c r="K114" i="3"/>
  <c r="L114" i="3"/>
  <c r="M114" i="3"/>
  <c r="A115" i="3"/>
  <c r="C115" i="3"/>
  <c r="D115" i="3"/>
  <c r="E115" i="3"/>
  <c r="F115" i="3"/>
  <c r="G115" i="3"/>
  <c r="H115" i="3"/>
  <c r="I115" i="3"/>
  <c r="J115" i="3"/>
  <c r="K115" i="3"/>
  <c r="L115" i="3"/>
  <c r="M115" i="3"/>
  <c r="A116" i="3"/>
  <c r="C116" i="3"/>
  <c r="D116" i="3"/>
  <c r="E116" i="3"/>
  <c r="F116" i="3"/>
  <c r="G116" i="3"/>
  <c r="H116" i="3"/>
  <c r="I116" i="3"/>
  <c r="J116" i="3"/>
  <c r="K116" i="3"/>
  <c r="L116" i="3"/>
  <c r="M116" i="3"/>
  <c r="A117" i="3"/>
  <c r="C117" i="3"/>
  <c r="D117" i="3"/>
  <c r="E117" i="3"/>
  <c r="F117" i="3"/>
  <c r="G117" i="3"/>
  <c r="H117" i="3"/>
  <c r="I117" i="3"/>
  <c r="J117" i="3"/>
  <c r="K117" i="3"/>
  <c r="L117" i="3"/>
  <c r="M117" i="3"/>
  <c r="A118" i="3"/>
  <c r="C118" i="3"/>
  <c r="D118" i="3"/>
  <c r="E118" i="3"/>
  <c r="F118" i="3"/>
  <c r="G118" i="3"/>
  <c r="H118" i="3"/>
  <c r="I118" i="3"/>
  <c r="J118" i="3"/>
  <c r="K118" i="3"/>
  <c r="L118" i="3"/>
  <c r="M118" i="3"/>
  <c r="A119" i="3"/>
  <c r="C119" i="3"/>
  <c r="D119" i="3"/>
  <c r="E119" i="3"/>
  <c r="F119" i="3"/>
  <c r="G119" i="3"/>
  <c r="H119" i="3"/>
  <c r="I119" i="3"/>
  <c r="J119" i="3"/>
  <c r="K119" i="3"/>
  <c r="L119" i="3"/>
  <c r="M119" i="3"/>
  <c r="A120" i="3"/>
  <c r="C120" i="3"/>
  <c r="D120" i="3"/>
  <c r="E120" i="3"/>
  <c r="F120" i="3"/>
  <c r="G120" i="3"/>
  <c r="H120" i="3"/>
  <c r="I120" i="3"/>
  <c r="J120" i="3"/>
  <c r="K120" i="3"/>
  <c r="L120" i="3"/>
  <c r="M120" i="3"/>
  <c r="A121" i="3"/>
  <c r="C121" i="3"/>
  <c r="D121" i="3"/>
  <c r="E121" i="3"/>
  <c r="F121" i="3"/>
  <c r="G121" i="3"/>
  <c r="H121" i="3"/>
  <c r="I121" i="3"/>
  <c r="J121" i="3"/>
  <c r="K121" i="3"/>
  <c r="L121" i="3"/>
  <c r="M121" i="3"/>
  <c r="A122" i="3"/>
  <c r="C122" i="3"/>
  <c r="D122" i="3"/>
  <c r="E122" i="3"/>
  <c r="F122" i="3"/>
  <c r="G122" i="3"/>
  <c r="H122" i="3"/>
  <c r="I122" i="3"/>
  <c r="J122" i="3"/>
  <c r="K122" i="3"/>
  <c r="L122" i="3"/>
  <c r="M122" i="3"/>
  <c r="A123" i="3"/>
  <c r="C123" i="3"/>
  <c r="D123" i="3"/>
  <c r="E123" i="3"/>
  <c r="F123" i="3"/>
  <c r="G123" i="3"/>
  <c r="H123" i="3"/>
  <c r="I123" i="3"/>
  <c r="J123" i="3"/>
  <c r="K123" i="3"/>
  <c r="L123" i="3"/>
  <c r="M123" i="3"/>
  <c r="A124" i="3"/>
  <c r="C124" i="3"/>
  <c r="D124" i="3"/>
  <c r="E124" i="3"/>
  <c r="F124" i="3"/>
  <c r="G124" i="3"/>
  <c r="H124" i="3"/>
  <c r="I124" i="3"/>
  <c r="J124" i="3"/>
  <c r="K124" i="3"/>
  <c r="L124" i="3"/>
  <c r="M124" i="3"/>
  <c r="A125" i="3"/>
  <c r="C125" i="3"/>
  <c r="D125" i="3"/>
  <c r="E125" i="3"/>
  <c r="F125" i="3"/>
  <c r="G125" i="3"/>
  <c r="H125" i="3"/>
  <c r="I125" i="3"/>
  <c r="J125" i="3"/>
  <c r="K125" i="3"/>
  <c r="L125" i="3"/>
  <c r="M125" i="3"/>
  <c r="A126" i="3"/>
  <c r="C126" i="3"/>
  <c r="D126" i="3"/>
  <c r="E126" i="3"/>
  <c r="F126" i="3"/>
  <c r="G126" i="3"/>
  <c r="H126" i="3"/>
  <c r="I126" i="3"/>
  <c r="J126" i="3"/>
  <c r="K126" i="3"/>
  <c r="L126" i="3"/>
  <c r="M126" i="3"/>
  <c r="A127" i="3"/>
  <c r="C127" i="3"/>
  <c r="D127" i="3"/>
  <c r="E127" i="3"/>
  <c r="F127" i="3"/>
  <c r="G127" i="3"/>
  <c r="H127" i="3"/>
  <c r="I127" i="3"/>
  <c r="J127" i="3"/>
  <c r="K127" i="3"/>
  <c r="L127" i="3"/>
  <c r="M127" i="3"/>
  <c r="A128" i="3"/>
  <c r="C128" i="3"/>
  <c r="D128" i="3"/>
  <c r="E128" i="3"/>
  <c r="F128" i="3"/>
  <c r="G128" i="3"/>
  <c r="H128" i="3"/>
  <c r="I128" i="3"/>
  <c r="J128" i="3"/>
  <c r="K128" i="3"/>
  <c r="L128" i="3"/>
  <c r="M128" i="3"/>
  <c r="A129" i="3"/>
  <c r="C129" i="3"/>
  <c r="D129" i="3"/>
  <c r="E129" i="3"/>
  <c r="F129" i="3"/>
  <c r="G129" i="3"/>
  <c r="H129" i="3"/>
  <c r="I129" i="3"/>
  <c r="J129" i="3"/>
  <c r="K129" i="3"/>
  <c r="L129" i="3"/>
  <c r="M129" i="3"/>
  <c r="A130" i="3"/>
  <c r="C130" i="3"/>
  <c r="D130" i="3"/>
  <c r="E130" i="3"/>
  <c r="F130" i="3"/>
  <c r="G130" i="3"/>
  <c r="H130" i="3"/>
  <c r="I130" i="3"/>
  <c r="J130" i="3"/>
  <c r="K130" i="3"/>
  <c r="L130" i="3"/>
  <c r="M130" i="3"/>
  <c r="A131" i="3"/>
  <c r="C131" i="3"/>
  <c r="D131" i="3"/>
  <c r="E131" i="3"/>
  <c r="F131" i="3"/>
  <c r="G131" i="3"/>
  <c r="H131" i="3"/>
  <c r="I131" i="3"/>
  <c r="J131" i="3"/>
  <c r="K131" i="3"/>
  <c r="L131" i="3"/>
  <c r="M131" i="3"/>
  <c r="A132" i="3"/>
  <c r="C132" i="3"/>
  <c r="D132" i="3"/>
  <c r="E132" i="3"/>
  <c r="F132" i="3"/>
  <c r="G132" i="3"/>
  <c r="H132" i="3"/>
  <c r="I132" i="3"/>
  <c r="J132" i="3"/>
  <c r="K132" i="3"/>
  <c r="L132" i="3"/>
  <c r="M132" i="3"/>
  <c r="A133" i="3"/>
  <c r="C133" i="3"/>
  <c r="D133" i="3"/>
  <c r="E133" i="3"/>
  <c r="F133" i="3"/>
  <c r="G133" i="3"/>
  <c r="H133" i="3"/>
  <c r="I133" i="3"/>
  <c r="J133" i="3"/>
  <c r="K133" i="3"/>
  <c r="L133" i="3"/>
  <c r="M133" i="3"/>
  <c r="A134" i="3"/>
  <c r="C134" i="3"/>
  <c r="D134" i="3"/>
  <c r="E134" i="3"/>
  <c r="F134" i="3"/>
  <c r="G134" i="3"/>
  <c r="H134" i="3"/>
  <c r="I134" i="3"/>
  <c r="J134" i="3"/>
  <c r="K134" i="3"/>
  <c r="L134" i="3"/>
  <c r="M134" i="3"/>
  <c r="A135" i="3"/>
  <c r="C135" i="3"/>
  <c r="D135" i="3"/>
  <c r="E135" i="3"/>
  <c r="F135" i="3"/>
  <c r="G135" i="3"/>
  <c r="H135" i="3"/>
  <c r="I135" i="3"/>
  <c r="J135" i="3"/>
  <c r="K135" i="3"/>
  <c r="L135" i="3"/>
  <c r="M135" i="3"/>
  <c r="A136" i="3"/>
  <c r="C136" i="3"/>
  <c r="D136" i="3"/>
  <c r="E136" i="3"/>
  <c r="F136" i="3"/>
  <c r="G136" i="3"/>
  <c r="H136" i="3"/>
  <c r="I136" i="3"/>
  <c r="J136" i="3"/>
  <c r="K136" i="3"/>
  <c r="L136" i="3"/>
  <c r="M136" i="3"/>
  <c r="A137" i="3"/>
  <c r="C137" i="3"/>
  <c r="D137" i="3"/>
  <c r="E137" i="3"/>
  <c r="F137" i="3"/>
  <c r="G137" i="3"/>
  <c r="H137" i="3"/>
  <c r="I137" i="3"/>
  <c r="J137" i="3"/>
  <c r="K137" i="3"/>
  <c r="L137" i="3"/>
  <c r="M137" i="3"/>
  <c r="A138" i="3"/>
  <c r="C138" i="3"/>
  <c r="D138" i="3"/>
  <c r="E138" i="3"/>
  <c r="F138" i="3"/>
  <c r="G138" i="3"/>
  <c r="H138" i="3"/>
  <c r="I138" i="3"/>
  <c r="J138" i="3"/>
  <c r="K138" i="3"/>
  <c r="L138" i="3"/>
  <c r="M138" i="3"/>
  <c r="A139" i="3"/>
  <c r="C139" i="3"/>
  <c r="D139" i="3"/>
  <c r="E139" i="3"/>
  <c r="F139" i="3"/>
  <c r="G139" i="3"/>
  <c r="H139" i="3"/>
  <c r="I139" i="3"/>
  <c r="J139" i="3"/>
  <c r="K139" i="3"/>
  <c r="L139" i="3"/>
  <c r="M139" i="3"/>
  <c r="A140" i="3"/>
  <c r="C140" i="3"/>
  <c r="D140" i="3"/>
  <c r="E140" i="3"/>
  <c r="F140" i="3"/>
  <c r="G140" i="3"/>
  <c r="H140" i="3"/>
  <c r="I140" i="3"/>
  <c r="J140" i="3"/>
  <c r="K140" i="3"/>
  <c r="L140" i="3"/>
  <c r="M140" i="3"/>
  <c r="A141" i="3"/>
  <c r="C141" i="3"/>
  <c r="D141" i="3"/>
  <c r="E141" i="3"/>
  <c r="F141" i="3"/>
  <c r="G141" i="3"/>
  <c r="H141" i="3"/>
  <c r="I141" i="3"/>
  <c r="J141" i="3"/>
  <c r="K141" i="3"/>
  <c r="L141" i="3"/>
  <c r="M141" i="3"/>
  <c r="A142" i="3"/>
  <c r="C142" i="3"/>
  <c r="D142" i="3"/>
  <c r="E142" i="3"/>
  <c r="F142" i="3"/>
  <c r="G142" i="3"/>
  <c r="H142" i="3"/>
  <c r="I142" i="3"/>
  <c r="J142" i="3"/>
  <c r="K142" i="3"/>
  <c r="L142" i="3"/>
  <c r="M142" i="3"/>
  <c r="A143" i="3"/>
  <c r="C143" i="3"/>
  <c r="D143" i="3"/>
  <c r="E143" i="3"/>
  <c r="F143" i="3"/>
  <c r="G143" i="3"/>
  <c r="H143" i="3"/>
  <c r="I143" i="3"/>
  <c r="J143" i="3"/>
  <c r="K143" i="3"/>
  <c r="L143" i="3"/>
  <c r="M143" i="3"/>
  <c r="A144" i="3"/>
  <c r="C144" i="3"/>
  <c r="D144" i="3"/>
  <c r="E144" i="3"/>
  <c r="F144" i="3"/>
  <c r="G144" i="3"/>
  <c r="H144" i="3"/>
  <c r="I144" i="3"/>
  <c r="J144" i="3"/>
  <c r="K144" i="3"/>
  <c r="L144" i="3"/>
  <c r="M144" i="3"/>
  <c r="A145" i="3"/>
  <c r="C145" i="3"/>
  <c r="D145" i="3"/>
  <c r="E145" i="3"/>
  <c r="F145" i="3"/>
  <c r="G145" i="3"/>
  <c r="H145" i="3"/>
  <c r="I145" i="3"/>
  <c r="J145" i="3"/>
  <c r="K145" i="3"/>
  <c r="L145" i="3"/>
  <c r="M145" i="3"/>
  <c r="A146" i="3"/>
  <c r="C146" i="3"/>
  <c r="D146" i="3"/>
  <c r="E146" i="3"/>
  <c r="F146" i="3"/>
  <c r="G146" i="3"/>
  <c r="H146" i="3"/>
  <c r="I146" i="3"/>
  <c r="J146" i="3"/>
  <c r="K146" i="3"/>
  <c r="L146" i="3"/>
  <c r="M146" i="3"/>
  <c r="A147" i="3"/>
  <c r="C147" i="3"/>
  <c r="D147" i="3"/>
  <c r="E147" i="3"/>
  <c r="F147" i="3"/>
  <c r="G147" i="3"/>
  <c r="H147" i="3"/>
  <c r="I147" i="3"/>
  <c r="J147" i="3"/>
  <c r="K147" i="3"/>
  <c r="L147" i="3"/>
  <c r="M147" i="3"/>
  <c r="A148" i="3"/>
  <c r="C148" i="3"/>
  <c r="D148" i="3"/>
  <c r="E148" i="3"/>
  <c r="F148" i="3"/>
  <c r="G148" i="3"/>
  <c r="H148" i="3"/>
  <c r="I148" i="3"/>
  <c r="J148" i="3"/>
  <c r="K148" i="3"/>
  <c r="L148" i="3"/>
  <c r="M148" i="3"/>
  <c r="A149" i="3"/>
  <c r="C149" i="3"/>
  <c r="D149" i="3"/>
  <c r="E149" i="3"/>
  <c r="F149" i="3"/>
  <c r="G149" i="3"/>
  <c r="H149" i="3"/>
  <c r="I149" i="3"/>
  <c r="J149" i="3"/>
  <c r="K149" i="3"/>
  <c r="L149" i="3"/>
  <c r="M149" i="3"/>
  <c r="A150" i="3"/>
  <c r="C150" i="3"/>
  <c r="D150" i="3"/>
  <c r="E150" i="3"/>
  <c r="F150" i="3"/>
  <c r="G150" i="3"/>
  <c r="H150" i="3"/>
  <c r="I150" i="3"/>
  <c r="J150" i="3"/>
  <c r="K150" i="3"/>
  <c r="L150" i="3"/>
  <c r="M150" i="3"/>
  <c r="A151" i="3"/>
  <c r="C151" i="3"/>
  <c r="D151" i="3"/>
  <c r="E151" i="3"/>
  <c r="F151" i="3"/>
  <c r="G151" i="3"/>
  <c r="H151" i="3"/>
  <c r="I151" i="3"/>
  <c r="J151" i="3"/>
  <c r="K151" i="3"/>
  <c r="L151" i="3"/>
  <c r="M151" i="3"/>
  <c r="A152" i="3"/>
  <c r="C152" i="3"/>
  <c r="D152" i="3"/>
  <c r="E152" i="3"/>
  <c r="F152" i="3"/>
  <c r="G152" i="3"/>
  <c r="H152" i="3"/>
  <c r="I152" i="3"/>
  <c r="J152" i="3"/>
  <c r="K152" i="3"/>
  <c r="L152" i="3"/>
  <c r="M152" i="3"/>
  <c r="A153" i="3"/>
  <c r="C153" i="3"/>
  <c r="D153" i="3"/>
  <c r="E153" i="3"/>
  <c r="F153" i="3"/>
  <c r="G153" i="3"/>
  <c r="H153" i="3"/>
  <c r="I153" i="3"/>
  <c r="J153" i="3"/>
  <c r="K153" i="3"/>
  <c r="L153" i="3"/>
  <c r="M153" i="3"/>
  <c r="A154" i="3"/>
  <c r="C154" i="3"/>
  <c r="D154" i="3"/>
  <c r="E154" i="3"/>
  <c r="F154" i="3"/>
  <c r="G154" i="3"/>
  <c r="H154" i="3"/>
  <c r="I154" i="3"/>
  <c r="J154" i="3"/>
  <c r="K154" i="3"/>
  <c r="L154" i="3"/>
  <c r="M154" i="3"/>
  <c r="A155" i="3"/>
  <c r="C155" i="3"/>
  <c r="D155" i="3"/>
  <c r="E155" i="3"/>
  <c r="F155" i="3"/>
  <c r="G155" i="3"/>
  <c r="H155" i="3"/>
  <c r="I155" i="3"/>
  <c r="J155" i="3"/>
  <c r="K155" i="3"/>
  <c r="L155" i="3"/>
  <c r="M155" i="3"/>
  <c r="A156" i="3"/>
  <c r="C156" i="3"/>
  <c r="D156" i="3"/>
  <c r="E156" i="3"/>
  <c r="F156" i="3"/>
  <c r="G156" i="3"/>
  <c r="H156" i="3"/>
  <c r="I156" i="3"/>
  <c r="J156" i="3"/>
  <c r="K156" i="3"/>
  <c r="L156" i="3"/>
  <c r="M156" i="3"/>
  <c r="A157" i="3"/>
  <c r="C157" i="3"/>
  <c r="D157" i="3"/>
  <c r="E157" i="3"/>
  <c r="F157" i="3"/>
  <c r="G157" i="3"/>
  <c r="H157" i="3"/>
  <c r="I157" i="3"/>
  <c r="J157" i="3"/>
  <c r="K157" i="3"/>
  <c r="L157" i="3"/>
  <c r="M157" i="3"/>
  <c r="A158" i="3"/>
  <c r="C158" i="3"/>
  <c r="D158" i="3"/>
  <c r="E158" i="3"/>
  <c r="F158" i="3"/>
  <c r="G158" i="3"/>
  <c r="H158" i="3"/>
  <c r="I158" i="3"/>
  <c r="J158" i="3"/>
  <c r="K158" i="3"/>
  <c r="L158" i="3"/>
  <c r="M158" i="3"/>
  <c r="A159" i="3"/>
  <c r="C159" i="3"/>
  <c r="D159" i="3"/>
  <c r="E159" i="3"/>
  <c r="F159" i="3"/>
  <c r="G159" i="3"/>
  <c r="H159" i="3"/>
  <c r="I159" i="3"/>
  <c r="J159" i="3"/>
  <c r="K159" i="3"/>
  <c r="L159" i="3"/>
  <c r="M159" i="3"/>
  <c r="A160" i="3"/>
  <c r="C160" i="3"/>
  <c r="D160" i="3"/>
  <c r="E160" i="3"/>
  <c r="F160" i="3"/>
  <c r="G160" i="3"/>
  <c r="H160" i="3"/>
  <c r="I160" i="3"/>
  <c r="J160" i="3"/>
  <c r="K160" i="3"/>
  <c r="L160" i="3"/>
  <c r="M160" i="3"/>
  <c r="A161" i="3"/>
  <c r="C161" i="3"/>
  <c r="D161" i="3"/>
  <c r="E161" i="3"/>
  <c r="F161" i="3"/>
  <c r="G161" i="3"/>
  <c r="H161" i="3"/>
  <c r="I161" i="3"/>
  <c r="J161" i="3"/>
  <c r="K161" i="3"/>
  <c r="L161" i="3"/>
  <c r="M161" i="3"/>
  <c r="A162" i="3"/>
  <c r="C162" i="3"/>
  <c r="D162" i="3"/>
  <c r="E162" i="3"/>
  <c r="F162" i="3"/>
  <c r="G162" i="3"/>
  <c r="H162" i="3"/>
  <c r="I162" i="3"/>
  <c r="J162" i="3"/>
  <c r="K162" i="3"/>
  <c r="L162" i="3"/>
  <c r="M162" i="3"/>
  <c r="A163" i="3"/>
  <c r="C163" i="3"/>
  <c r="D163" i="3"/>
  <c r="E163" i="3"/>
  <c r="F163" i="3"/>
  <c r="G163" i="3"/>
  <c r="H163" i="3"/>
  <c r="I163" i="3"/>
  <c r="J163" i="3"/>
  <c r="K163" i="3"/>
  <c r="L163" i="3"/>
  <c r="M163" i="3"/>
  <c r="A164" i="3"/>
  <c r="C164" i="3"/>
  <c r="D164" i="3"/>
  <c r="E164" i="3"/>
  <c r="F164" i="3"/>
  <c r="G164" i="3"/>
  <c r="H164" i="3"/>
  <c r="I164" i="3"/>
  <c r="J164" i="3"/>
  <c r="K164" i="3"/>
  <c r="L164" i="3"/>
  <c r="M164" i="3"/>
  <c r="A165" i="3"/>
  <c r="C165" i="3"/>
  <c r="D165" i="3"/>
  <c r="E165" i="3"/>
  <c r="F165" i="3"/>
  <c r="G165" i="3"/>
  <c r="H165" i="3"/>
  <c r="I165" i="3"/>
  <c r="J165" i="3"/>
  <c r="K165" i="3"/>
  <c r="L165" i="3"/>
  <c r="M165" i="3"/>
  <c r="A166" i="3"/>
  <c r="C166" i="3"/>
  <c r="D166" i="3"/>
  <c r="E166" i="3"/>
  <c r="F166" i="3"/>
  <c r="G166" i="3"/>
  <c r="H166" i="3"/>
  <c r="I166" i="3"/>
  <c r="J166" i="3"/>
  <c r="K166" i="3"/>
  <c r="L166" i="3"/>
  <c r="M166" i="3"/>
  <c r="A167" i="3"/>
  <c r="C167" i="3"/>
  <c r="D167" i="3"/>
  <c r="E167" i="3"/>
  <c r="F167" i="3"/>
  <c r="G167" i="3"/>
  <c r="H167" i="3"/>
  <c r="I167" i="3"/>
  <c r="J167" i="3"/>
  <c r="K167" i="3"/>
  <c r="L167" i="3"/>
  <c r="M167" i="3"/>
  <c r="A168" i="3"/>
  <c r="C168" i="3"/>
  <c r="D168" i="3"/>
  <c r="E168" i="3"/>
  <c r="F168" i="3"/>
  <c r="G168" i="3"/>
  <c r="H168" i="3"/>
  <c r="I168" i="3"/>
  <c r="J168" i="3"/>
  <c r="K168" i="3"/>
  <c r="L168" i="3"/>
  <c r="M168" i="3"/>
  <c r="A169" i="3"/>
  <c r="C169" i="3"/>
  <c r="D169" i="3"/>
  <c r="E169" i="3"/>
  <c r="F169" i="3"/>
  <c r="G169" i="3"/>
  <c r="H169" i="3"/>
  <c r="I169" i="3"/>
  <c r="J169" i="3"/>
  <c r="K169" i="3"/>
  <c r="L169" i="3"/>
  <c r="M169" i="3"/>
  <c r="A170" i="3"/>
  <c r="C170" i="3"/>
  <c r="D170" i="3"/>
  <c r="E170" i="3"/>
  <c r="F170" i="3"/>
  <c r="G170" i="3"/>
  <c r="H170" i="3"/>
  <c r="I170" i="3"/>
  <c r="J170" i="3"/>
  <c r="K170" i="3"/>
  <c r="L170" i="3"/>
  <c r="M170" i="3"/>
  <c r="A171" i="3"/>
  <c r="C171" i="3"/>
  <c r="D171" i="3"/>
  <c r="E171" i="3"/>
  <c r="F171" i="3"/>
  <c r="G171" i="3"/>
  <c r="H171" i="3"/>
  <c r="I171" i="3"/>
  <c r="J171" i="3"/>
  <c r="K171" i="3"/>
  <c r="L171" i="3"/>
  <c r="M171" i="3"/>
  <c r="A172" i="3"/>
  <c r="C172" i="3"/>
  <c r="D172" i="3"/>
  <c r="E172" i="3"/>
  <c r="F172" i="3"/>
  <c r="G172" i="3"/>
  <c r="H172" i="3"/>
  <c r="I172" i="3"/>
  <c r="J172" i="3"/>
  <c r="K172" i="3"/>
  <c r="L172" i="3"/>
  <c r="M172" i="3"/>
  <c r="A173" i="3"/>
  <c r="C173" i="3"/>
  <c r="D173" i="3"/>
  <c r="E173" i="3"/>
  <c r="F173" i="3"/>
  <c r="G173" i="3"/>
  <c r="H173" i="3"/>
  <c r="I173" i="3"/>
  <c r="J173" i="3"/>
  <c r="K173" i="3"/>
  <c r="L173" i="3"/>
  <c r="M173" i="3"/>
  <c r="A174" i="3"/>
  <c r="C174" i="3"/>
  <c r="D174" i="3"/>
  <c r="E174" i="3"/>
  <c r="F174" i="3"/>
  <c r="G174" i="3"/>
  <c r="H174" i="3"/>
  <c r="I174" i="3"/>
  <c r="J174" i="3"/>
  <c r="K174" i="3"/>
  <c r="L174" i="3"/>
  <c r="M174" i="3"/>
  <c r="A175" i="3"/>
  <c r="C175" i="3"/>
  <c r="D175" i="3"/>
  <c r="E175" i="3"/>
  <c r="F175" i="3"/>
  <c r="G175" i="3"/>
  <c r="H175" i="3"/>
  <c r="I175" i="3"/>
  <c r="J175" i="3"/>
  <c r="K175" i="3"/>
  <c r="L175" i="3"/>
  <c r="M175" i="3"/>
  <c r="A176" i="3"/>
  <c r="C176" i="3"/>
  <c r="D176" i="3"/>
  <c r="E176" i="3"/>
  <c r="F176" i="3"/>
  <c r="G176" i="3"/>
  <c r="H176" i="3"/>
  <c r="I176" i="3"/>
  <c r="J176" i="3"/>
  <c r="K176" i="3"/>
  <c r="L176" i="3"/>
  <c r="M176" i="3"/>
  <c r="A177" i="3"/>
  <c r="C177" i="3"/>
  <c r="D177" i="3"/>
  <c r="E177" i="3"/>
  <c r="F177" i="3"/>
  <c r="G177" i="3"/>
  <c r="H177" i="3"/>
  <c r="I177" i="3"/>
  <c r="J177" i="3"/>
  <c r="K177" i="3"/>
  <c r="L177" i="3"/>
  <c r="M177" i="3"/>
  <c r="A178" i="3"/>
  <c r="C178" i="3"/>
  <c r="D178" i="3"/>
  <c r="E178" i="3"/>
  <c r="F178" i="3"/>
  <c r="G178" i="3"/>
  <c r="H178" i="3"/>
  <c r="I178" i="3"/>
  <c r="J178" i="3"/>
  <c r="K178" i="3"/>
  <c r="L178" i="3"/>
  <c r="M178" i="3"/>
  <c r="A179" i="3"/>
  <c r="C179" i="3"/>
  <c r="D179" i="3"/>
  <c r="E179" i="3"/>
  <c r="F179" i="3"/>
  <c r="G179" i="3"/>
  <c r="H179" i="3"/>
  <c r="I179" i="3"/>
  <c r="J179" i="3"/>
  <c r="K179" i="3"/>
  <c r="L179" i="3"/>
  <c r="M179" i="3"/>
  <c r="A180" i="3"/>
  <c r="C180" i="3"/>
  <c r="D180" i="3"/>
  <c r="E180" i="3"/>
  <c r="F180" i="3"/>
  <c r="G180" i="3"/>
  <c r="H180" i="3"/>
  <c r="I180" i="3"/>
  <c r="J180" i="3"/>
  <c r="K180" i="3"/>
  <c r="L180" i="3"/>
  <c r="M180" i="3"/>
  <c r="A181" i="3"/>
  <c r="C181" i="3"/>
  <c r="D181" i="3"/>
  <c r="E181" i="3"/>
  <c r="F181" i="3"/>
  <c r="G181" i="3"/>
  <c r="H181" i="3"/>
  <c r="I181" i="3"/>
  <c r="J181" i="3"/>
  <c r="K181" i="3"/>
  <c r="L181" i="3"/>
  <c r="M181" i="3"/>
  <c r="A182" i="3"/>
  <c r="C182" i="3"/>
  <c r="D182" i="3"/>
  <c r="E182" i="3"/>
  <c r="F182" i="3"/>
  <c r="G182" i="3"/>
  <c r="H182" i="3"/>
  <c r="I182" i="3"/>
  <c r="J182" i="3"/>
  <c r="K182" i="3"/>
  <c r="L182" i="3"/>
  <c r="M182" i="3"/>
  <c r="A183" i="3"/>
  <c r="C183" i="3"/>
  <c r="D183" i="3"/>
  <c r="E183" i="3"/>
  <c r="F183" i="3"/>
  <c r="G183" i="3"/>
  <c r="H183" i="3"/>
  <c r="I183" i="3"/>
  <c r="J183" i="3"/>
  <c r="K183" i="3"/>
  <c r="L183" i="3"/>
  <c r="M183" i="3"/>
  <c r="A184" i="3"/>
  <c r="C184" i="3"/>
  <c r="D184" i="3"/>
  <c r="E184" i="3"/>
  <c r="F184" i="3"/>
  <c r="G184" i="3"/>
  <c r="H184" i="3"/>
  <c r="I184" i="3"/>
  <c r="J184" i="3"/>
  <c r="K184" i="3"/>
  <c r="L184" i="3"/>
  <c r="M184" i="3"/>
  <c r="A185" i="3"/>
  <c r="C185" i="3"/>
  <c r="D185" i="3"/>
  <c r="E185" i="3"/>
  <c r="F185" i="3"/>
  <c r="G185" i="3"/>
  <c r="H185" i="3"/>
  <c r="I185" i="3"/>
  <c r="J185" i="3"/>
  <c r="K185" i="3"/>
  <c r="L185" i="3"/>
  <c r="M185" i="3"/>
  <c r="A186" i="3"/>
  <c r="C186" i="3"/>
  <c r="D186" i="3"/>
  <c r="E186" i="3"/>
  <c r="F186" i="3"/>
  <c r="G186" i="3"/>
  <c r="H186" i="3"/>
  <c r="I186" i="3"/>
  <c r="J186" i="3"/>
  <c r="K186" i="3"/>
  <c r="L186" i="3"/>
  <c r="M186" i="3"/>
  <c r="A187" i="3"/>
  <c r="C187" i="3"/>
  <c r="D187" i="3"/>
  <c r="E187" i="3"/>
  <c r="F187" i="3"/>
  <c r="G187" i="3"/>
  <c r="H187" i="3"/>
  <c r="I187" i="3"/>
  <c r="J187" i="3"/>
  <c r="K187" i="3"/>
  <c r="L187" i="3"/>
  <c r="M187" i="3"/>
  <c r="A188" i="3"/>
  <c r="C188" i="3"/>
  <c r="D188" i="3"/>
  <c r="E188" i="3"/>
  <c r="F188" i="3"/>
  <c r="G188" i="3"/>
  <c r="H188" i="3"/>
  <c r="I188" i="3"/>
  <c r="J188" i="3"/>
  <c r="K188" i="3"/>
  <c r="L188" i="3"/>
  <c r="M188" i="3"/>
  <c r="A189" i="3"/>
  <c r="C189" i="3"/>
  <c r="D189" i="3"/>
  <c r="E189" i="3"/>
  <c r="F189" i="3"/>
  <c r="G189" i="3"/>
  <c r="H189" i="3"/>
  <c r="I189" i="3"/>
  <c r="J189" i="3"/>
  <c r="K189" i="3"/>
  <c r="L189" i="3"/>
  <c r="M189" i="3"/>
  <c r="A190" i="3"/>
  <c r="C190" i="3"/>
  <c r="D190" i="3"/>
  <c r="E190" i="3"/>
  <c r="F190" i="3"/>
  <c r="G190" i="3"/>
  <c r="H190" i="3"/>
  <c r="I190" i="3"/>
  <c r="J190" i="3"/>
  <c r="K190" i="3"/>
  <c r="L190" i="3"/>
  <c r="M190" i="3"/>
  <c r="A191" i="3"/>
  <c r="C191" i="3"/>
  <c r="D191" i="3"/>
  <c r="E191" i="3"/>
  <c r="F191" i="3"/>
  <c r="G191" i="3"/>
  <c r="H191" i="3"/>
  <c r="I191" i="3"/>
  <c r="J191" i="3"/>
  <c r="K191" i="3"/>
  <c r="L191" i="3"/>
  <c r="M191" i="3"/>
  <c r="A192" i="3"/>
  <c r="C192" i="3"/>
  <c r="D192" i="3"/>
  <c r="E192" i="3"/>
  <c r="F192" i="3"/>
  <c r="G192" i="3"/>
  <c r="H192" i="3"/>
  <c r="I192" i="3"/>
  <c r="J192" i="3"/>
  <c r="K192" i="3"/>
  <c r="L192" i="3"/>
  <c r="M192" i="3"/>
  <c r="A193" i="3"/>
  <c r="C193" i="3"/>
  <c r="D193" i="3"/>
  <c r="E193" i="3"/>
  <c r="F193" i="3"/>
  <c r="G193" i="3"/>
  <c r="H193" i="3"/>
  <c r="I193" i="3"/>
  <c r="J193" i="3"/>
  <c r="K193" i="3"/>
  <c r="L193" i="3"/>
  <c r="M193" i="3"/>
  <c r="A194" i="3"/>
  <c r="C194" i="3"/>
  <c r="D194" i="3"/>
  <c r="E194" i="3"/>
  <c r="F194" i="3"/>
  <c r="G194" i="3"/>
  <c r="H194" i="3"/>
  <c r="I194" i="3"/>
  <c r="J194" i="3"/>
  <c r="K194" i="3"/>
  <c r="L194" i="3"/>
  <c r="M194" i="3"/>
  <c r="A195" i="3"/>
  <c r="C195" i="3"/>
  <c r="D195" i="3"/>
  <c r="E195" i="3"/>
  <c r="F195" i="3"/>
  <c r="G195" i="3"/>
  <c r="H195" i="3"/>
  <c r="I195" i="3"/>
  <c r="J195" i="3"/>
  <c r="K195" i="3"/>
  <c r="L195" i="3"/>
  <c r="M195" i="3"/>
  <c r="A196" i="3"/>
  <c r="C196" i="3"/>
  <c r="D196" i="3"/>
  <c r="E196" i="3"/>
  <c r="F196" i="3"/>
  <c r="G196" i="3"/>
  <c r="H196" i="3"/>
  <c r="I196" i="3"/>
  <c r="J196" i="3"/>
  <c r="K196" i="3"/>
  <c r="L196" i="3"/>
  <c r="M196" i="3"/>
  <c r="A197" i="3"/>
  <c r="C197" i="3"/>
  <c r="D197" i="3"/>
  <c r="E197" i="3"/>
  <c r="F197" i="3"/>
  <c r="G197" i="3"/>
  <c r="H197" i="3"/>
  <c r="I197" i="3"/>
  <c r="J197" i="3"/>
  <c r="K197" i="3"/>
  <c r="L197" i="3"/>
  <c r="M197" i="3"/>
  <c r="A198" i="3"/>
  <c r="C198" i="3"/>
  <c r="D198" i="3"/>
  <c r="E198" i="3"/>
  <c r="F198" i="3"/>
  <c r="G198" i="3"/>
  <c r="H198" i="3"/>
  <c r="I198" i="3"/>
  <c r="J198" i="3"/>
  <c r="K198" i="3"/>
  <c r="L198" i="3"/>
  <c r="M198" i="3"/>
  <c r="A199" i="3"/>
  <c r="C199" i="3"/>
  <c r="D199" i="3"/>
  <c r="E199" i="3"/>
  <c r="F199" i="3"/>
  <c r="G199" i="3"/>
  <c r="H199" i="3"/>
  <c r="I199" i="3"/>
  <c r="J199" i="3"/>
  <c r="K199" i="3"/>
  <c r="L199" i="3"/>
  <c r="M199" i="3"/>
  <c r="A200" i="3"/>
  <c r="C200" i="3"/>
  <c r="D200" i="3"/>
  <c r="E200" i="3"/>
  <c r="F200" i="3"/>
  <c r="G200" i="3"/>
  <c r="H200" i="3"/>
  <c r="I200" i="3"/>
  <c r="J200" i="3"/>
  <c r="K200" i="3"/>
  <c r="L200" i="3"/>
  <c r="M200" i="3"/>
  <c r="A201" i="3"/>
  <c r="C201" i="3"/>
  <c r="D201" i="3"/>
  <c r="E201" i="3"/>
  <c r="F201" i="3"/>
  <c r="G201" i="3"/>
  <c r="H201" i="3"/>
  <c r="I201" i="3"/>
  <c r="J201" i="3"/>
  <c r="K201" i="3"/>
  <c r="L201" i="3"/>
  <c r="M201" i="3"/>
  <c r="A202" i="3"/>
  <c r="C202" i="3"/>
  <c r="D202" i="3"/>
  <c r="E202" i="3"/>
  <c r="F202" i="3"/>
  <c r="G202" i="3"/>
  <c r="H202" i="3"/>
  <c r="I202" i="3"/>
  <c r="J202" i="3"/>
  <c r="K202" i="3"/>
  <c r="L202" i="3"/>
  <c r="M202" i="3"/>
  <c r="A203" i="3"/>
  <c r="C203" i="3"/>
  <c r="D203" i="3"/>
  <c r="E203" i="3"/>
  <c r="F203" i="3"/>
  <c r="G203" i="3"/>
  <c r="H203" i="3"/>
  <c r="I203" i="3"/>
  <c r="J203" i="3"/>
  <c r="K203" i="3"/>
  <c r="L203" i="3"/>
  <c r="M203" i="3"/>
  <c r="A204" i="3"/>
  <c r="C204" i="3"/>
  <c r="D204" i="3"/>
  <c r="E204" i="3"/>
  <c r="F204" i="3"/>
  <c r="G204" i="3"/>
  <c r="H204" i="3"/>
  <c r="I204" i="3"/>
  <c r="J204" i="3"/>
  <c r="K204" i="3"/>
  <c r="L204" i="3"/>
  <c r="M204" i="3"/>
  <c r="A205" i="3"/>
  <c r="C205" i="3"/>
  <c r="D205" i="3"/>
  <c r="E205" i="3"/>
  <c r="F205" i="3"/>
  <c r="G205" i="3"/>
  <c r="H205" i="3"/>
  <c r="I205" i="3"/>
  <c r="J205" i="3"/>
  <c r="K205" i="3"/>
  <c r="L205" i="3"/>
  <c r="M205" i="3"/>
  <c r="A206" i="3"/>
  <c r="C206" i="3"/>
  <c r="D206" i="3"/>
  <c r="E206" i="3"/>
  <c r="F206" i="3"/>
  <c r="G206" i="3"/>
  <c r="H206" i="3"/>
  <c r="I206" i="3"/>
  <c r="J206" i="3"/>
  <c r="K206" i="3"/>
  <c r="L206" i="3"/>
  <c r="M206" i="3"/>
  <c r="A207" i="3"/>
  <c r="C207" i="3"/>
  <c r="D207" i="3"/>
  <c r="E207" i="3"/>
  <c r="F207" i="3"/>
  <c r="G207" i="3"/>
  <c r="H207" i="3"/>
  <c r="I207" i="3"/>
  <c r="J207" i="3"/>
  <c r="K207" i="3"/>
  <c r="L207" i="3"/>
  <c r="M207" i="3"/>
  <c r="A208" i="3"/>
  <c r="C208" i="3"/>
  <c r="D208" i="3"/>
  <c r="E208" i="3"/>
  <c r="F208" i="3"/>
  <c r="G208" i="3"/>
  <c r="H208" i="3"/>
  <c r="I208" i="3"/>
  <c r="J208" i="3"/>
  <c r="K208" i="3"/>
  <c r="L208" i="3"/>
  <c r="M208" i="3"/>
  <c r="A209" i="3"/>
  <c r="C209" i="3"/>
  <c r="D209" i="3"/>
  <c r="E209" i="3"/>
  <c r="F209" i="3"/>
  <c r="G209" i="3"/>
  <c r="H209" i="3"/>
  <c r="I209" i="3"/>
  <c r="J209" i="3"/>
  <c r="K209" i="3"/>
  <c r="L209" i="3"/>
  <c r="M209" i="3"/>
  <c r="A210" i="3"/>
  <c r="C210" i="3"/>
  <c r="D210" i="3"/>
  <c r="E210" i="3"/>
  <c r="F210" i="3"/>
  <c r="G210" i="3"/>
  <c r="H210" i="3"/>
  <c r="I210" i="3"/>
  <c r="J210" i="3"/>
  <c r="K210" i="3"/>
  <c r="L210" i="3"/>
  <c r="M210" i="3"/>
  <c r="A211" i="3"/>
  <c r="C211" i="3"/>
  <c r="D211" i="3"/>
  <c r="E211" i="3"/>
  <c r="F211" i="3"/>
  <c r="G211" i="3"/>
  <c r="H211" i="3"/>
  <c r="I211" i="3"/>
  <c r="J211" i="3"/>
  <c r="L211" i="3"/>
  <c r="M211" i="3"/>
  <c r="A212" i="3"/>
  <c r="C212" i="3"/>
  <c r="D212" i="3"/>
  <c r="E212" i="3"/>
  <c r="F212" i="3"/>
  <c r="G212" i="3"/>
  <c r="H212" i="3"/>
  <c r="I212" i="3"/>
  <c r="J212" i="3"/>
  <c r="K212" i="3"/>
  <c r="L212" i="3"/>
  <c r="M212" i="3"/>
  <c r="A213" i="3"/>
  <c r="C213" i="3"/>
  <c r="D213" i="3"/>
  <c r="E213" i="3"/>
  <c r="F213" i="3"/>
  <c r="G213" i="3"/>
  <c r="H213" i="3"/>
  <c r="I213" i="3"/>
  <c r="J213" i="3"/>
  <c r="K213" i="3"/>
  <c r="L213" i="3"/>
  <c r="M213" i="3"/>
  <c r="A214" i="3"/>
  <c r="C214" i="3"/>
  <c r="D214" i="3"/>
  <c r="E214" i="3"/>
  <c r="F214" i="3"/>
  <c r="G214" i="3"/>
  <c r="H214" i="3"/>
  <c r="I214" i="3"/>
  <c r="J214" i="3"/>
  <c r="K214" i="3"/>
  <c r="L214" i="3"/>
  <c r="M214" i="3"/>
  <c r="A215" i="3"/>
  <c r="C215" i="3"/>
  <c r="D215" i="3"/>
  <c r="E215" i="3"/>
  <c r="F215" i="3"/>
  <c r="G215" i="3"/>
  <c r="H215" i="3"/>
  <c r="I215" i="3"/>
  <c r="J215" i="3"/>
  <c r="K215" i="3"/>
  <c r="L215" i="3"/>
  <c r="M215" i="3"/>
  <c r="A216" i="3"/>
  <c r="C216" i="3"/>
  <c r="D216" i="3"/>
  <c r="E216" i="3"/>
  <c r="F216" i="3"/>
  <c r="G216" i="3"/>
  <c r="H216" i="3"/>
  <c r="I216" i="3"/>
  <c r="J216" i="3"/>
  <c r="K216" i="3"/>
  <c r="L216" i="3"/>
  <c r="M216" i="3"/>
  <c r="A217" i="3"/>
  <c r="C217" i="3"/>
  <c r="D217" i="3"/>
  <c r="E217" i="3"/>
  <c r="F217" i="3"/>
  <c r="G217" i="3"/>
  <c r="H217" i="3"/>
  <c r="I217" i="3"/>
  <c r="J217" i="3"/>
  <c r="K217" i="3"/>
  <c r="L217" i="3"/>
  <c r="M217" i="3"/>
  <c r="A218" i="3"/>
  <c r="C218" i="3"/>
  <c r="D218" i="3"/>
  <c r="E218" i="3"/>
  <c r="F218" i="3"/>
  <c r="G218" i="3"/>
  <c r="H218" i="3"/>
  <c r="I218" i="3"/>
  <c r="J218" i="3"/>
  <c r="K218" i="3"/>
  <c r="L218" i="3"/>
  <c r="M218" i="3"/>
  <c r="A219" i="3"/>
  <c r="C219" i="3"/>
  <c r="D219" i="3"/>
  <c r="E219" i="3"/>
  <c r="F219" i="3"/>
  <c r="G219" i="3"/>
  <c r="H219" i="3"/>
  <c r="I219" i="3"/>
  <c r="J219" i="3"/>
  <c r="K219" i="3"/>
  <c r="L219" i="3"/>
  <c r="M219" i="3"/>
  <c r="A220" i="3"/>
  <c r="C220" i="3"/>
  <c r="D220" i="3"/>
  <c r="E220" i="3"/>
  <c r="F220" i="3"/>
  <c r="G220" i="3"/>
  <c r="H220" i="3"/>
  <c r="I220" i="3"/>
  <c r="J220" i="3"/>
  <c r="K220" i="3"/>
  <c r="L220" i="3"/>
  <c r="M220" i="3"/>
  <c r="A221" i="3"/>
  <c r="C221" i="3"/>
  <c r="D221" i="3"/>
  <c r="E221" i="3"/>
  <c r="F221" i="3"/>
  <c r="G221" i="3"/>
  <c r="H221" i="3"/>
  <c r="I221" i="3"/>
  <c r="J221" i="3"/>
  <c r="K221" i="3"/>
  <c r="L221" i="3"/>
  <c r="M221" i="3"/>
  <c r="A222" i="3"/>
  <c r="C222" i="3"/>
  <c r="D222" i="3"/>
  <c r="E222" i="3"/>
  <c r="F222" i="3"/>
  <c r="G222" i="3"/>
  <c r="H222" i="3"/>
  <c r="I222" i="3"/>
  <c r="J222" i="3"/>
  <c r="K222" i="3"/>
  <c r="L222" i="3"/>
  <c r="M222" i="3"/>
  <c r="A223" i="3"/>
  <c r="C223" i="3"/>
  <c r="D223" i="3"/>
  <c r="E223" i="3"/>
  <c r="F223" i="3"/>
  <c r="G223" i="3"/>
  <c r="H223" i="3"/>
  <c r="I223" i="3"/>
  <c r="J223" i="3"/>
  <c r="K223" i="3"/>
  <c r="L223" i="3"/>
  <c r="M223" i="3"/>
  <c r="A224" i="3"/>
  <c r="C224" i="3"/>
  <c r="D224" i="3"/>
  <c r="E224" i="3"/>
  <c r="F224" i="3"/>
  <c r="G224" i="3"/>
  <c r="H224" i="3"/>
  <c r="I224" i="3"/>
  <c r="J224" i="3"/>
  <c r="K224" i="3"/>
  <c r="L224" i="3"/>
  <c r="M224" i="3"/>
  <c r="A225" i="3"/>
  <c r="C225" i="3"/>
  <c r="D225" i="3"/>
  <c r="E225" i="3"/>
  <c r="F225" i="3"/>
  <c r="G225" i="3"/>
  <c r="H225" i="3"/>
  <c r="I225" i="3"/>
  <c r="J225" i="3"/>
  <c r="K225" i="3"/>
  <c r="L225" i="3"/>
  <c r="M225" i="3"/>
  <c r="A226" i="3"/>
  <c r="C226" i="3"/>
  <c r="D226" i="3"/>
  <c r="E226" i="3"/>
  <c r="F226" i="3"/>
  <c r="G226" i="3"/>
  <c r="H226" i="3"/>
  <c r="I226" i="3"/>
  <c r="J226" i="3"/>
  <c r="K226" i="3"/>
  <c r="L226" i="3"/>
  <c r="M226" i="3"/>
  <c r="A227" i="3"/>
  <c r="C227" i="3"/>
  <c r="D227" i="3"/>
  <c r="E227" i="3"/>
  <c r="F227" i="3"/>
  <c r="G227" i="3"/>
  <c r="H227" i="3"/>
  <c r="I227" i="3"/>
  <c r="J227" i="3"/>
  <c r="K227" i="3"/>
  <c r="L227" i="3"/>
  <c r="M227" i="3"/>
  <c r="A228" i="3"/>
  <c r="C228" i="3"/>
  <c r="D228" i="3"/>
  <c r="E228" i="3"/>
  <c r="F228" i="3"/>
  <c r="G228" i="3"/>
  <c r="H228" i="3"/>
  <c r="I228" i="3"/>
  <c r="J228" i="3"/>
  <c r="K228" i="3"/>
  <c r="L228" i="3"/>
  <c r="M228" i="3"/>
  <c r="A229" i="3"/>
  <c r="C229" i="3"/>
  <c r="D229" i="3"/>
  <c r="E229" i="3"/>
  <c r="F229" i="3"/>
  <c r="G229" i="3"/>
  <c r="H229" i="3"/>
  <c r="I229" i="3"/>
  <c r="J229" i="3"/>
  <c r="K229" i="3"/>
  <c r="L229" i="3"/>
  <c r="M229" i="3"/>
  <c r="A230" i="3"/>
  <c r="C230" i="3"/>
  <c r="D230" i="3"/>
  <c r="E230" i="3"/>
  <c r="F230" i="3"/>
  <c r="G230" i="3"/>
  <c r="H230" i="3"/>
  <c r="I230" i="3"/>
  <c r="J230" i="3"/>
  <c r="K230" i="3"/>
  <c r="L230" i="3"/>
  <c r="M230" i="3"/>
  <c r="A231" i="3"/>
  <c r="C231" i="3"/>
  <c r="D231" i="3"/>
  <c r="E231" i="3"/>
  <c r="F231" i="3"/>
  <c r="G231" i="3"/>
  <c r="H231" i="3"/>
  <c r="I231" i="3"/>
  <c r="J231" i="3"/>
  <c r="K231" i="3"/>
  <c r="L231" i="3"/>
  <c r="M231" i="3"/>
  <c r="A232" i="3"/>
  <c r="C232" i="3"/>
  <c r="D232" i="3"/>
  <c r="E232" i="3"/>
  <c r="F232" i="3"/>
  <c r="G232" i="3"/>
  <c r="H232" i="3"/>
  <c r="I232" i="3"/>
  <c r="J232" i="3"/>
  <c r="K232" i="3"/>
  <c r="L232" i="3"/>
  <c r="M232" i="3"/>
  <c r="A233" i="3"/>
  <c r="C233" i="3"/>
  <c r="D233" i="3"/>
  <c r="E233" i="3"/>
  <c r="F233" i="3"/>
  <c r="G233" i="3"/>
  <c r="H233" i="3"/>
  <c r="I233" i="3"/>
  <c r="J233" i="3"/>
  <c r="K233" i="3"/>
  <c r="L233" i="3"/>
  <c r="M233" i="3"/>
  <c r="A234" i="3"/>
  <c r="C234" i="3"/>
  <c r="D234" i="3"/>
  <c r="E234" i="3"/>
  <c r="F234" i="3"/>
  <c r="G234" i="3"/>
  <c r="H234" i="3"/>
  <c r="I234" i="3"/>
  <c r="J234" i="3"/>
  <c r="K234" i="3"/>
  <c r="L234" i="3"/>
  <c r="M234" i="3"/>
  <c r="A235" i="3"/>
  <c r="C235" i="3"/>
  <c r="D235" i="3"/>
  <c r="E235" i="3"/>
  <c r="F235" i="3"/>
  <c r="G235" i="3"/>
  <c r="I235" i="3"/>
  <c r="J235" i="3"/>
  <c r="K235" i="3"/>
  <c r="L235" i="3"/>
  <c r="M235" i="3"/>
  <c r="A236" i="3"/>
  <c r="C236" i="3"/>
  <c r="D236" i="3"/>
  <c r="E236" i="3"/>
  <c r="F236" i="3"/>
  <c r="G236" i="3"/>
  <c r="H236" i="3"/>
  <c r="I236" i="3"/>
  <c r="J236" i="3"/>
  <c r="K236" i="3"/>
  <c r="L236" i="3"/>
  <c r="M236" i="3"/>
  <c r="A237" i="3"/>
  <c r="C237" i="3"/>
  <c r="D237" i="3"/>
  <c r="E237" i="3"/>
  <c r="F237" i="3"/>
  <c r="G237" i="3"/>
  <c r="H237" i="3"/>
  <c r="I237" i="3"/>
  <c r="J237" i="3"/>
  <c r="K237" i="3"/>
  <c r="L237" i="3"/>
  <c r="M237" i="3"/>
  <c r="A238" i="3"/>
  <c r="C238" i="3"/>
  <c r="D238" i="3"/>
  <c r="E238" i="3"/>
  <c r="F238" i="3"/>
  <c r="G238" i="3"/>
  <c r="H238" i="3"/>
  <c r="I238" i="3"/>
  <c r="J238" i="3"/>
  <c r="K238" i="3"/>
  <c r="L238" i="3"/>
  <c r="M238" i="3"/>
  <c r="A239" i="3"/>
  <c r="C239" i="3"/>
  <c r="D239" i="3"/>
  <c r="E239" i="3"/>
  <c r="F239" i="3"/>
  <c r="G239" i="3"/>
  <c r="H239" i="3"/>
  <c r="I239" i="3"/>
  <c r="J239" i="3"/>
  <c r="K239" i="3"/>
  <c r="L239" i="3"/>
  <c r="M239" i="3"/>
  <c r="A240" i="3"/>
  <c r="C240" i="3"/>
  <c r="D240" i="3"/>
  <c r="E240" i="3"/>
  <c r="F240" i="3"/>
  <c r="G240" i="3"/>
  <c r="H240" i="3"/>
  <c r="I240" i="3"/>
  <c r="J240" i="3"/>
  <c r="K240" i="3"/>
  <c r="L240" i="3"/>
  <c r="M240" i="3"/>
  <c r="A241" i="3"/>
  <c r="C241" i="3"/>
  <c r="D241" i="3"/>
  <c r="E241" i="3"/>
  <c r="F241" i="3"/>
  <c r="G241" i="3"/>
  <c r="H241" i="3"/>
  <c r="I241" i="3"/>
  <c r="J241" i="3"/>
  <c r="K241" i="3"/>
  <c r="L241" i="3"/>
  <c r="M241" i="3"/>
  <c r="A242" i="3"/>
  <c r="C242" i="3"/>
  <c r="D242" i="3"/>
  <c r="E242" i="3"/>
  <c r="F242" i="3"/>
  <c r="G242" i="3"/>
  <c r="H242" i="3"/>
  <c r="I242" i="3"/>
  <c r="J242" i="3"/>
  <c r="K242" i="3"/>
  <c r="L242" i="3"/>
  <c r="M242" i="3"/>
  <c r="A243" i="3"/>
  <c r="C243" i="3"/>
  <c r="D243" i="3"/>
  <c r="E243" i="3"/>
  <c r="F243" i="3"/>
  <c r="G243" i="3"/>
  <c r="H243" i="3"/>
  <c r="I243" i="3"/>
  <c r="J243" i="3"/>
  <c r="K243" i="3"/>
  <c r="L243" i="3"/>
  <c r="M243" i="3"/>
  <c r="A244" i="3"/>
  <c r="C244" i="3"/>
  <c r="D244" i="3"/>
  <c r="E244" i="3"/>
  <c r="F244" i="3"/>
  <c r="G244" i="3"/>
  <c r="H244" i="3"/>
  <c r="I244" i="3"/>
  <c r="J244" i="3"/>
  <c r="K244" i="3"/>
  <c r="L244" i="3"/>
  <c r="M244" i="3"/>
  <c r="A245" i="3"/>
  <c r="C245" i="3"/>
  <c r="D245" i="3"/>
  <c r="E245" i="3"/>
  <c r="F245" i="3"/>
  <c r="G245" i="3"/>
  <c r="H245" i="3"/>
  <c r="I245" i="3"/>
  <c r="J245" i="3"/>
  <c r="K245" i="3"/>
  <c r="L245" i="3"/>
  <c r="M245" i="3"/>
  <c r="A246" i="3"/>
  <c r="C246" i="3"/>
  <c r="D246" i="3"/>
  <c r="E246" i="3"/>
  <c r="F246" i="3"/>
  <c r="G246" i="3"/>
  <c r="H246" i="3"/>
  <c r="I246" i="3"/>
  <c r="J246" i="3"/>
  <c r="K246" i="3"/>
  <c r="L246" i="3"/>
  <c r="M246" i="3"/>
  <c r="A247" i="3"/>
  <c r="C247" i="3"/>
  <c r="D247" i="3"/>
  <c r="E247" i="3"/>
  <c r="F247" i="3"/>
  <c r="G247" i="3"/>
  <c r="H247" i="3"/>
  <c r="I247" i="3"/>
  <c r="J247" i="3"/>
  <c r="K247" i="3"/>
  <c r="L247" i="3"/>
  <c r="M247" i="3"/>
  <c r="A248" i="3"/>
  <c r="C248" i="3"/>
  <c r="D248" i="3"/>
  <c r="E248" i="3"/>
  <c r="F248" i="3"/>
  <c r="G248" i="3"/>
  <c r="H248" i="3"/>
  <c r="I248" i="3"/>
  <c r="J248" i="3"/>
  <c r="K248" i="3"/>
  <c r="L248" i="3"/>
  <c r="M248" i="3"/>
  <c r="A249" i="3"/>
  <c r="C249" i="3"/>
  <c r="D249" i="3"/>
  <c r="E249" i="3"/>
  <c r="F249" i="3"/>
  <c r="G249" i="3"/>
  <c r="H249" i="3"/>
  <c r="I249" i="3"/>
  <c r="J249" i="3"/>
  <c r="K249" i="3"/>
  <c r="L249" i="3"/>
  <c r="M249" i="3"/>
  <c r="A250" i="3"/>
  <c r="C250" i="3"/>
  <c r="D250" i="3"/>
  <c r="E250" i="3"/>
  <c r="F250" i="3"/>
  <c r="G250" i="3"/>
  <c r="H250" i="3"/>
  <c r="I250" i="3"/>
  <c r="J250" i="3"/>
  <c r="K250" i="3"/>
  <c r="L250" i="3"/>
  <c r="M250" i="3"/>
  <c r="A251" i="3"/>
  <c r="C251" i="3"/>
  <c r="D251" i="3"/>
  <c r="E251" i="3"/>
  <c r="F251" i="3"/>
  <c r="G251" i="3"/>
  <c r="H251" i="3"/>
  <c r="I251" i="3"/>
  <c r="J251" i="3"/>
  <c r="K251" i="3"/>
  <c r="L251" i="3"/>
  <c r="M251" i="3"/>
  <c r="A252" i="3"/>
  <c r="C252" i="3"/>
  <c r="D252" i="3"/>
  <c r="E252" i="3"/>
  <c r="F252" i="3"/>
  <c r="G252" i="3"/>
  <c r="H252" i="3"/>
  <c r="I252" i="3"/>
  <c r="J252" i="3"/>
  <c r="K252" i="3"/>
  <c r="L252" i="3"/>
  <c r="M252" i="3"/>
  <c r="A253" i="3"/>
  <c r="C253" i="3"/>
  <c r="D253" i="3"/>
  <c r="E253" i="3"/>
  <c r="F253" i="3"/>
  <c r="G253" i="3"/>
  <c r="H253" i="3"/>
  <c r="I253" i="3"/>
  <c r="J253" i="3"/>
  <c r="K253" i="3"/>
  <c r="L253" i="3"/>
  <c r="M253" i="3"/>
  <c r="A254" i="3"/>
  <c r="C254" i="3"/>
  <c r="D254" i="3"/>
  <c r="E254" i="3"/>
  <c r="F254" i="3"/>
  <c r="G254" i="3"/>
  <c r="H254" i="3"/>
  <c r="I254" i="3"/>
  <c r="J254" i="3"/>
  <c r="K254" i="3"/>
  <c r="L254" i="3"/>
  <c r="M254" i="3"/>
  <c r="A255" i="3"/>
  <c r="C255" i="3"/>
  <c r="D255" i="3"/>
  <c r="E255" i="3"/>
  <c r="F255" i="3"/>
  <c r="G255" i="3"/>
  <c r="H255" i="3"/>
  <c r="I255" i="3"/>
  <c r="J255" i="3"/>
  <c r="K255" i="3"/>
  <c r="L255" i="3"/>
  <c r="M255" i="3"/>
  <c r="A256" i="3"/>
  <c r="C256" i="3"/>
  <c r="D256" i="3"/>
  <c r="E256" i="3"/>
  <c r="F256" i="3"/>
  <c r="G256" i="3"/>
  <c r="H256" i="3"/>
  <c r="I256" i="3"/>
  <c r="J256" i="3"/>
  <c r="K256" i="3"/>
  <c r="L256" i="3"/>
  <c r="M256" i="3"/>
  <c r="A257" i="3"/>
  <c r="C257" i="3"/>
  <c r="D257" i="3"/>
  <c r="E257" i="3"/>
  <c r="F257" i="3"/>
  <c r="G257" i="3"/>
  <c r="H257" i="3"/>
  <c r="I257" i="3"/>
  <c r="J257" i="3"/>
  <c r="K257" i="3"/>
  <c r="L257" i="3"/>
  <c r="M257" i="3"/>
  <c r="A258" i="3"/>
  <c r="C258" i="3"/>
  <c r="D258" i="3"/>
  <c r="E258" i="3"/>
  <c r="F258" i="3"/>
  <c r="G258" i="3"/>
  <c r="H258" i="3"/>
  <c r="I258" i="3"/>
  <c r="J258" i="3"/>
  <c r="K258" i="3"/>
  <c r="L258" i="3"/>
  <c r="M258" i="3"/>
  <c r="A259" i="3"/>
  <c r="C259" i="3"/>
  <c r="D259" i="3"/>
  <c r="E259" i="3"/>
  <c r="F259" i="3"/>
  <c r="G259" i="3"/>
  <c r="H259" i="3"/>
  <c r="I259" i="3"/>
  <c r="J259" i="3"/>
  <c r="K259" i="3"/>
  <c r="L259" i="3"/>
  <c r="M259" i="3"/>
  <c r="A260" i="3"/>
  <c r="C260" i="3"/>
  <c r="D260" i="3"/>
  <c r="E260" i="3"/>
  <c r="F260" i="3"/>
  <c r="G260" i="3"/>
  <c r="H260" i="3"/>
  <c r="I260" i="3"/>
  <c r="J260" i="3"/>
  <c r="K260" i="3"/>
  <c r="L260" i="3"/>
  <c r="M260" i="3"/>
  <c r="A261" i="3"/>
  <c r="C261" i="3"/>
  <c r="D261" i="3"/>
  <c r="E261" i="3"/>
  <c r="F261" i="3"/>
  <c r="G261" i="3"/>
  <c r="H261" i="3"/>
  <c r="I261" i="3"/>
  <c r="J261" i="3"/>
  <c r="K261" i="3"/>
  <c r="L261" i="3"/>
  <c r="M261" i="3"/>
  <c r="A262" i="3"/>
  <c r="C262" i="3"/>
  <c r="D262" i="3"/>
  <c r="E262" i="3"/>
  <c r="F262" i="3"/>
  <c r="G262" i="3"/>
  <c r="H262" i="3"/>
  <c r="I262" i="3"/>
  <c r="J262" i="3"/>
  <c r="K262" i="3"/>
  <c r="L262" i="3"/>
  <c r="M262" i="3"/>
  <c r="A263" i="3"/>
  <c r="C263" i="3"/>
  <c r="D263" i="3"/>
  <c r="E263" i="3"/>
  <c r="F263" i="3"/>
  <c r="G263" i="3"/>
  <c r="H263" i="3"/>
  <c r="I263" i="3"/>
  <c r="J263" i="3"/>
  <c r="K263" i="3"/>
  <c r="L263" i="3"/>
  <c r="M263" i="3"/>
  <c r="A264" i="3"/>
  <c r="C264" i="3"/>
  <c r="D264" i="3"/>
  <c r="E264" i="3"/>
  <c r="F264" i="3"/>
  <c r="G264" i="3"/>
  <c r="H264" i="3"/>
  <c r="I264" i="3"/>
  <c r="J264" i="3"/>
  <c r="K264" i="3"/>
  <c r="L264" i="3"/>
  <c r="M264" i="3"/>
  <c r="A265" i="3"/>
  <c r="C265" i="3"/>
  <c r="D265" i="3"/>
  <c r="E265" i="3"/>
  <c r="F265" i="3"/>
  <c r="G265" i="3"/>
  <c r="H265" i="3"/>
  <c r="I265" i="3"/>
  <c r="J265" i="3"/>
  <c r="K265" i="3"/>
  <c r="L265" i="3"/>
  <c r="M265" i="3"/>
  <c r="A266" i="3"/>
  <c r="C266" i="3"/>
  <c r="D266" i="3"/>
  <c r="E266" i="3"/>
  <c r="F266" i="3"/>
  <c r="G266" i="3"/>
  <c r="H266" i="3"/>
  <c r="I266" i="3"/>
  <c r="J266" i="3"/>
  <c r="K266" i="3"/>
  <c r="L266" i="3"/>
  <c r="M266" i="3"/>
  <c r="A267" i="3"/>
  <c r="C267" i="3"/>
  <c r="D267" i="3"/>
  <c r="E267" i="3"/>
  <c r="F267" i="3"/>
  <c r="G267" i="3"/>
  <c r="H267" i="3"/>
  <c r="I267" i="3"/>
  <c r="J267" i="3"/>
  <c r="K267" i="3"/>
  <c r="L267" i="3"/>
  <c r="M267" i="3"/>
  <c r="A268" i="3"/>
  <c r="C268" i="3"/>
  <c r="D268" i="3"/>
  <c r="E268" i="3"/>
  <c r="F268" i="3"/>
  <c r="G268" i="3"/>
  <c r="H268" i="3"/>
  <c r="I268" i="3"/>
  <c r="J268" i="3"/>
  <c r="K268" i="3"/>
  <c r="L268" i="3"/>
  <c r="M268" i="3"/>
  <c r="A269" i="3"/>
  <c r="C269" i="3"/>
  <c r="D269" i="3"/>
  <c r="E269" i="3"/>
  <c r="F269" i="3"/>
  <c r="G269" i="3"/>
  <c r="H269" i="3"/>
  <c r="I269" i="3"/>
  <c r="J269" i="3"/>
  <c r="K269" i="3"/>
  <c r="L269" i="3"/>
  <c r="M269" i="3"/>
  <c r="A270" i="3"/>
  <c r="C270" i="3"/>
  <c r="D270" i="3"/>
  <c r="E270" i="3"/>
  <c r="F270" i="3"/>
  <c r="G270" i="3"/>
  <c r="H270" i="3"/>
  <c r="I270" i="3"/>
  <c r="J270" i="3"/>
  <c r="K270" i="3"/>
  <c r="L270" i="3"/>
  <c r="M270" i="3"/>
  <c r="A271" i="3"/>
  <c r="C271" i="3"/>
  <c r="D271" i="3"/>
  <c r="E271" i="3"/>
  <c r="F271" i="3"/>
  <c r="G271" i="3"/>
  <c r="H271" i="3"/>
  <c r="I271" i="3"/>
  <c r="J271" i="3"/>
  <c r="K271" i="3"/>
  <c r="L271" i="3"/>
  <c r="M271" i="3"/>
  <c r="A272" i="3"/>
  <c r="C272" i="3"/>
  <c r="D272" i="3"/>
  <c r="E272" i="3"/>
  <c r="F272" i="3"/>
  <c r="G272" i="3"/>
  <c r="H272" i="3"/>
  <c r="I272" i="3"/>
  <c r="J272" i="3"/>
  <c r="K272" i="3"/>
  <c r="L272" i="3"/>
  <c r="M272" i="3"/>
  <c r="A273" i="3"/>
  <c r="C273" i="3"/>
  <c r="D273" i="3"/>
  <c r="E273" i="3"/>
  <c r="F273" i="3"/>
  <c r="G273" i="3"/>
  <c r="H273" i="3"/>
  <c r="I273" i="3"/>
  <c r="J273" i="3"/>
  <c r="K273" i="3"/>
  <c r="L273" i="3"/>
  <c r="M273" i="3"/>
  <c r="A274" i="3"/>
  <c r="C274" i="3"/>
  <c r="D274" i="3"/>
  <c r="E274" i="3"/>
  <c r="F274" i="3"/>
  <c r="G274" i="3"/>
  <c r="H274" i="3"/>
  <c r="I274" i="3"/>
  <c r="J274" i="3"/>
  <c r="K274" i="3"/>
  <c r="L274" i="3"/>
  <c r="M274" i="3"/>
  <c r="A275" i="3"/>
  <c r="C275" i="3"/>
  <c r="D275" i="3"/>
  <c r="E275" i="3"/>
  <c r="F275" i="3"/>
  <c r="G275" i="3"/>
  <c r="H275" i="3"/>
  <c r="I275" i="3"/>
  <c r="J275" i="3"/>
  <c r="K275" i="3"/>
  <c r="L275" i="3"/>
  <c r="M275" i="3"/>
  <c r="A276" i="3"/>
  <c r="C276" i="3"/>
  <c r="D276" i="3"/>
  <c r="E276" i="3"/>
  <c r="F276" i="3"/>
  <c r="G276" i="3"/>
  <c r="H276" i="3"/>
  <c r="I276" i="3"/>
  <c r="J276" i="3"/>
  <c r="K276" i="3"/>
  <c r="L276" i="3"/>
  <c r="M276" i="3"/>
  <c r="A277" i="3"/>
  <c r="C277" i="3"/>
  <c r="D277" i="3"/>
  <c r="E277" i="3"/>
  <c r="F277" i="3"/>
  <c r="G277" i="3"/>
  <c r="H277" i="3"/>
  <c r="I277" i="3"/>
  <c r="J277" i="3"/>
  <c r="K277" i="3"/>
  <c r="L277" i="3"/>
  <c r="M277" i="3"/>
  <c r="A278" i="3"/>
  <c r="C278" i="3"/>
  <c r="D278" i="3"/>
  <c r="E278" i="3"/>
  <c r="F278" i="3"/>
  <c r="G278" i="3"/>
  <c r="H278" i="3"/>
  <c r="I278" i="3"/>
  <c r="J278" i="3"/>
  <c r="K278" i="3"/>
  <c r="L278" i="3"/>
  <c r="M278" i="3"/>
  <c r="A279" i="3"/>
  <c r="C279" i="3"/>
  <c r="D279" i="3"/>
  <c r="E279" i="3"/>
  <c r="F279" i="3"/>
  <c r="G279" i="3"/>
  <c r="H279" i="3"/>
  <c r="I279" i="3"/>
  <c r="J279" i="3"/>
  <c r="K279" i="3"/>
  <c r="L279" i="3"/>
  <c r="M279" i="3"/>
  <c r="A280" i="3"/>
  <c r="C280" i="3"/>
  <c r="D280" i="3"/>
  <c r="E280" i="3"/>
  <c r="F280" i="3"/>
  <c r="G280" i="3"/>
  <c r="H280" i="3"/>
  <c r="I280" i="3"/>
  <c r="J280" i="3"/>
  <c r="K280" i="3"/>
  <c r="L280" i="3"/>
  <c r="M280" i="3"/>
  <c r="A281" i="3"/>
  <c r="C281" i="3"/>
  <c r="D281" i="3"/>
  <c r="E281" i="3"/>
  <c r="F281" i="3"/>
  <c r="G281" i="3"/>
  <c r="H281" i="3"/>
  <c r="I281" i="3"/>
  <c r="J281" i="3"/>
  <c r="K281" i="3"/>
  <c r="L281" i="3"/>
  <c r="M281" i="3"/>
  <c r="A282" i="3"/>
  <c r="C282" i="3"/>
  <c r="D282" i="3"/>
  <c r="E282" i="3"/>
  <c r="F282" i="3"/>
  <c r="G282" i="3"/>
  <c r="H282" i="3"/>
  <c r="I282" i="3"/>
  <c r="J282" i="3"/>
  <c r="K282" i="3"/>
  <c r="L282" i="3"/>
  <c r="M282" i="3"/>
  <c r="A283" i="3"/>
  <c r="C283" i="3"/>
  <c r="D283" i="3"/>
  <c r="E283" i="3"/>
  <c r="F283" i="3"/>
  <c r="G283" i="3"/>
  <c r="H283" i="3"/>
  <c r="I283" i="3"/>
  <c r="J283" i="3"/>
  <c r="K283" i="3"/>
  <c r="L283" i="3"/>
  <c r="M283" i="3"/>
  <c r="A284" i="3"/>
  <c r="C284" i="3"/>
  <c r="D284" i="3"/>
  <c r="E284" i="3"/>
  <c r="F284" i="3"/>
  <c r="G284" i="3"/>
  <c r="H284" i="3"/>
  <c r="I284" i="3"/>
  <c r="J284" i="3"/>
  <c r="K284" i="3"/>
  <c r="L284" i="3"/>
  <c r="M284" i="3"/>
  <c r="A285" i="3"/>
  <c r="C285" i="3"/>
  <c r="D285" i="3"/>
  <c r="E285" i="3"/>
  <c r="F285" i="3"/>
  <c r="G285" i="3"/>
  <c r="H285" i="3"/>
  <c r="I285" i="3"/>
  <c r="J285" i="3"/>
  <c r="K285" i="3"/>
  <c r="L285" i="3"/>
  <c r="M285" i="3"/>
  <c r="A286" i="3"/>
  <c r="C286" i="3"/>
  <c r="D286" i="3"/>
  <c r="E286" i="3"/>
  <c r="F286" i="3"/>
  <c r="G286" i="3"/>
  <c r="H286" i="3"/>
  <c r="I286" i="3"/>
  <c r="J286" i="3"/>
  <c r="K286" i="3"/>
  <c r="L286" i="3"/>
  <c r="M286" i="3"/>
  <c r="A287" i="3"/>
  <c r="C287" i="3"/>
  <c r="D287" i="3"/>
  <c r="E287" i="3"/>
  <c r="F287" i="3"/>
  <c r="G287" i="3"/>
  <c r="H287" i="3"/>
  <c r="I287" i="3"/>
  <c r="J287" i="3"/>
  <c r="K287" i="3"/>
  <c r="L287" i="3"/>
  <c r="M287" i="3"/>
  <c r="A288" i="3"/>
  <c r="C288" i="3"/>
  <c r="D288" i="3"/>
  <c r="E288" i="3"/>
  <c r="F288" i="3"/>
  <c r="G288" i="3"/>
  <c r="H288" i="3"/>
  <c r="I288" i="3"/>
  <c r="J288" i="3"/>
  <c r="K288" i="3"/>
  <c r="L288" i="3"/>
  <c r="M288" i="3"/>
  <c r="A289" i="3"/>
  <c r="C289" i="3"/>
  <c r="D289" i="3"/>
  <c r="E289" i="3"/>
  <c r="F289" i="3"/>
  <c r="G289" i="3"/>
  <c r="H289" i="3"/>
  <c r="I289" i="3"/>
  <c r="J289" i="3"/>
  <c r="K289" i="3"/>
  <c r="L289" i="3"/>
  <c r="M289" i="3"/>
  <c r="A290" i="3"/>
  <c r="C290" i="3"/>
  <c r="D290" i="3"/>
  <c r="E290" i="3"/>
  <c r="F290" i="3"/>
  <c r="G290" i="3"/>
  <c r="H290" i="3"/>
  <c r="I290" i="3"/>
  <c r="J290" i="3"/>
  <c r="K290" i="3"/>
  <c r="L290" i="3"/>
  <c r="M290" i="3"/>
  <c r="A291" i="3"/>
  <c r="C291" i="3"/>
  <c r="D291" i="3"/>
  <c r="E291" i="3"/>
  <c r="F291" i="3"/>
  <c r="G291" i="3"/>
  <c r="H291" i="3"/>
  <c r="I291" i="3"/>
  <c r="J291" i="3"/>
  <c r="K291" i="3"/>
  <c r="L291" i="3"/>
  <c r="M291" i="3"/>
  <c r="A292" i="3"/>
  <c r="C292" i="3"/>
  <c r="D292" i="3"/>
  <c r="E292" i="3"/>
  <c r="F292" i="3"/>
  <c r="G292" i="3"/>
  <c r="H292" i="3"/>
  <c r="I292" i="3"/>
  <c r="J292" i="3"/>
  <c r="K292" i="3"/>
  <c r="L292" i="3"/>
  <c r="M292" i="3"/>
  <c r="A293" i="3"/>
  <c r="C293" i="3"/>
  <c r="D293" i="3"/>
  <c r="E293" i="3"/>
  <c r="F293" i="3"/>
  <c r="G293" i="3"/>
  <c r="H293" i="3"/>
  <c r="I293" i="3"/>
  <c r="J293" i="3"/>
  <c r="K293" i="3"/>
  <c r="L293" i="3"/>
  <c r="M293" i="3"/>
  <c r="A294" i="3"/>
  <c r="C294" i="3"/>
  <c r="D294" i="3"/>
  <c r="E294" i="3"/>
  <c r="F294" i="3"/>
  <c r="G294" i="3"/>
  <c r="H294" i="3"/>
  <c r="I294" i="3"/>
  <c r="J294" i="3"/>
  <c r="K294" i="3"/>
  <c r="L294" i="3"/>
  <c r="M294" i="3"/>
  <c r="A295" i="3"/>
  <c r="C295" i="3"/>
  <c r="D295" i="3"/>
  <c r="E295" i="3"/>
  <c r="F295" i="3"/>
  <c r="G295" i="3"/>
  <c r="H295" i="3"/>
  <c r="I295" i="3"/>
  <c r="J295" i="3"/>
  <c r="K295" i="3"/>
  <c r="L295" i="3"/>
  <c r="M295" i="3"/>
  <c r="A296" i="3"/>
  <c r="C296" i="3"/>
  <c r="D296" i="3"/>
  <c r="E296" i="3"/>
  <c r="F296" i="3"/>
  <c r="G296" i="3"/>
  <c r="H296" i="3"/>
  <c r="I296" i="3"/>
  <c r="J296" i="3"/>
  <c r="K296" i="3"/>
  <c r="L296" i="3"/>
  <c r="M296" i="3"/>
  <c r="A297" i="3"/>
  <c r="C297" i="3"/>
  <c r="D297" i="3"/>
  <c r="E297" i="3"/>
  <c r="F297" i="3"/>
  <c r="G297" i="3"/>
  <c r="H297" i="3"/>
  <c r="I297" i="3"/>
  <c r="K297" i="3"/>
  <c r="L297" i="3"/>
  <c r="M297" i="3"/>
  <c r="C3" i="3"/>
  <c r="D3" i="3"/>
  <c r="E3" i="3"/>
  <c r="F3" i="3"/>
  <c r="G3" i="3"/>
  <c r="H3" i="3"/>
  <c r="I3" i="3"/>
  <c r="J3" i="3"/>
  <c r="K3" i="3"/>
  <c r="L3" i="3"/>
  <c r="M3" i="3"/>
  <c r="N3" i="3"/>
  <c r="A3" i="3"/>
  <c r="N55" i="4" l="1"/>
  <c r="N35" i="4"/>
  <c r="N48" i="4"/>
  <c r="N63" i="4"/>
  <c r="N21" i="4"/>
  <c r="N19" i="4"/>
  <c r="N15" i="4"/>
  <c r="N6" i="4"/>
  <c r="N53" i="4"/>
  <c r="N32" i="3"/>
  <c r="N292" i="3"/>
  <c r="N236" i="3"/>
  <c r="N186" i="3"/>
  <c r="N184" i="3"/>
  <c r="N176" i="3"/>
  <c r="N169" i="3"/>
  <c r="N113" i="3"/>
  <c r="N77" i="3"/>
  <c r="N162" i="3"/>
  <c r="N151" i="3"/>
  <c r="N133" i="3"/>
  <c r="N56" i="4"/>
  <c r="N286" i="3"/>
  <c r="N282" i="3"/>
  <c r="N278" i="3"/>
  <c r="N274" i="3"/>
  <c r="N270" i="3"/>
  <c r="N266" i="3"/>
  <c r="N262" i="3"/>
  <c r="N258" i="3"/>
  <c r="N254" i="3"/>
  <c r="N250" i="3"/>
  <c r="N246" i="3"/>
  <c r="N226" i="3"/>
  <c r="N216" i="3"/>
  <c r="N212" i="3"/>
  <c r="N208" i="3"/>
  <c r="N205" i="3"/>
  <c r="N44" i="4"/>
  <c r="N172" i="3"/>
  <c r="N155" i="3"/>
  <c r="N147" i="3"/>
  <c r="N144" i="3"/>
  <c r="N140" i="3"/>
  <c r="N136" i="3"/>
  <c r="N121" i="3"/>
  <c r="N261" i="3"/>
  <c r="N249" i="3"/>
  <c r="N225" i="3"/>
  <c r="N289" i="3"/>
  <c r="N285" i="3"/>
  <c r="N281" i="3"/>
  <c r="N277" i="3"/>
  <c r="N273" i="3"/>
  <c r="N269" i="3"/>
  <c r="N52" i="4"/>
  <c r="N221" i="3"/>
  <c r="N46" i="4"/>
  <c r="N97" i="3"/>
  <c r="N30" i="3"/>
  <c r="N174" i="3"/>
  <c r="N153" i="3"/>
  <c r="N138" i="3"/>
  <c r="N218" i="3"/>
  <c r="N214" i="3"/>
  <c r="N210" i="3"/>
  <c r="N206" i="3"/>
  <c r="N157" i="3"/>
  <c r="N127" i="3"/>
  <c r="N123" i="3"/>
  <c r="N99" i="3"/>
  <c r="N41" i="3"/>
  <c r="N294" i="3"/>
  <c r="N57" i="4"/>
  <c r="N48" i="3"/>
  <c r="N105" i="3"/>
  <c r="N101" i="3"/>
  <c r="N20" i="4"/>
  <c r="N129" i="3"/>
  <c r="N107" i="3"/>
  <c r="N69" i="3"/>
  <c r="N65" i="3"/>
  <c r="N47" i="3"/>
  <c r="N37" i="3"/>
  <c r="N34" i="3"/>
  <c r="N26" i="3"/>
  <c r="N235" i="3"/>
  <c r="N222" i="3"/>
  <c r="N215" i="3"/>
  <c r="N211" i="3"/>
  <c r="N207" i="3"/>
  <c r="N204" i="3"/>
  <c r="N290" i="3"/>
  <c r="N288" i="3"/>
  <c r="N284" i="3"/>
  <c r="N280" i="3"/>
  <c r="N268" i="3"/>
  <c r="N264" i="3"/>
  <c r="N256" i="3"/>
  <c r="N252" i="3"/>
  <c r="N248" i="3"/>
  <c r="N244" i="3"/>
  <c r="N170" i="3"/>
  <c r="N131" i="3"/>
  <c r="N27" i="4"/>
  <c r="N28" i="3"/>
  <c r="N293" i="3"/>
  <c r="N287" i="3"/>
  <c r="N283" i="3"/>
  <c r="N279" i="3"/>
  <c r="N275" i="3"/>
  <c r="N267" i="3"/>
  <c r="N263" i="3"/>
  <c r="N255" i="3"/>
  <c r="N247" i="3"/>
  <c r="N51" i="4"/>
  <c r="N220" i="3"/>
  <c r="N213" i="3"/>
  <c r="N49" i="4"/>
  <c r="N192" i="3"/>
  <c r="N44" i="3"/>
  <c r="N103" i="3"/>
  <c r="N93" i="3"/>
  <c r="N81" i="3"/>
  <c r="N61" i="3"/>
  <c r="N32" i="4"/>
  <c r="N59" i="3"/>
  <c r="N55" i="3"/>
  <c r="N51" i="3"/>
  <c r="N14" i="3"/>
  <c r="N7" i="4"/>
  <c r="N7" i="3"/>
  <c r="N295" i="3"/>
  <c r="N291" i="3"/>
  <c r="N265" i="3"/>
  <c r="N257" i="3"/>
  <c r="N253" i="3"/>
  <c r="N245" i="3"/>
  <c r="N219" i="3"/>
  <c r="N200" i="3"/>
  <c r="N197" i="3"/>
  <c r="N194" i="3"/>
  <c r="N191" i="3"/>
  <c r="N188" i="3"/>
  <c r="N185" i="3"/>
  <c r="N183" i="3"/>
  <c r="N181" i="3"/>
  <c r="N178" i="3"/>
  <c r="N175" i="3"/>
  <c r="N171" i="3"/>
  <c r="N168" i="3"/>
  <c r="N165" i="3"/>
  <c r="N161" i="3"/>
  <c r="N158" i="3"/>
  <c r="N154" i="3"/>
  <c r="N150" i="3"/>
  <c r="N146" i="3"/>
  <c r="N143" i="3"/>
  <c r="N139" i="3"/>
  <c r="N37" i="4"/>
  <c r="N132" i="3"/>
  <c r="N128" i="3"/>
  <c r="N124" i="3"/>
  <c r="N120" i="3"/>
  <c r="N116" i="3"/>
  <c r="N112" i="3"/>
  <c r="N108" i="3"/>
  <c r="N106" i="3"/>
  <c r="N102" i="3"/>
  <c r="N100" i="3"/>
  <c r="N96" i="3"/>
  <c r="N92" i="3"/>
  <c r="N88" i="3"/>
  <c r="N84" i="3"/>
  <c r="N80" i="3"/>
  <c r="N76" i="3"/>
  <c r="N72" i="3"/>
  <c r="N68" i="3"/>
  <c r="N64" i="3"/>
  <c r="N60" i="3"/>
  <c r="N31" i="4"/>
  <c r="N58" i="3"/>
  <c r="N54" i="3"/>
  <c r="N50" i="3"/>
  <c r="N46" i="3"/>
  <c r="N28" i="4"/>
  <c r="N42" i="3"/>
  <c r="N24" i="4"/>
  <c r="N40" i="3"/>
  <c r="N36" i="3"/>
  <c r="N33" i="3"/>
  <c r="N29" i="3"/>
  <c r="N8" i="4"/>
  <c r="N18" i="4"/>
  <c r="N25" i="3"/>
  <c r="N13" i="3"/>
  <c r="N10" i="3"/>
  <c r="N6" i="3"/>
  <c r="N10" i="4"/>
  <c r="N125" i="3"/>
  <c r="N117" i="3"/>
  <c r="N272" i="3"/>
  <c r="N260" i="3"/>
  <c r="N238" i="3"/>
  <c r="N54" i="4"/>
  <c r="N224" i="3"/>
  <c r="N203" i="3"/>
  <c r="N65" i="4"/>
  <c r="N193" i="3"/>
  <c r="N190" i="3"/>
  <c r="N149" i="3"/>
  <c r="N38" i="4"/>
  <c r="N142" i="3"/>
  <c r="N135" i="3"/>
  <c r="N119" i="3"/>
  <c r="N115" i="3"/>
  <c r="N111" i="3"/>
  <c r="N62" i="4"/>
  <c r="N95" i="3"/>
  <c r="N91" i="3"/>
  <c r="N83" i="3"/>
  <c r="N79" i="3"/>
  <c r="N75" i="3"/>
  <c r="N71" i="3"/>
  <c r="N67" i="3"/>
  <c r="N63" i="3"/>
  <c r="N34" i="4"/>
  <c r="N30" i="4"/>
  <c r="N57" i="3"/>
  <c r="N53" i="3"/>
  <c r="N49" i="3"/>
  <c r="N45" i="3"/>
  <c r="N23" i="4"/>
  <c r="N20" i="3"/>
  <c r="N16" i="3"/>
  <c r="N12" i="3"/>
  <c r="N9" i="3"/>
  <c r="N5" i="3"/>
  <c r="N109" i="3"/>
  <c r="N276" i="3"/>
  <c r="N297" i="3"/>
  <c r="N271" i="3"/>
  <c r="N259" i="3"/>
  <c r="N251" i="3"/>
  <c r="N243" i="3"/>
  <c r="N237" i="3"/>
  <c r="N233" i="3"/>
  <c r="N227" i="3"/>
  <c r="N217" i="3"/>
  <c r="N209" i="3"/>
  <c r="N47" i="4"/>
  <c r="N187" i="3"/>
  <c r="N14" i="4"/>
  <c r="N45" i="4"/>
  <c r="N43" i="4"/>
  <c r="N42" i="4"/>
  <c r="N173" i="3"/>
  <c r="N41" i="4"/>
  <c r="N40" i="4"/>
  <c r="N163" i="3"/>
  <c r="N160" i="3"/>
  <c r="N156" i="3"/>
  <c r="N152" i="3"/>
  <c r="N148" i="3"/>
  <c r="N145" i="3"/>
  <c r="N141" i="3"/>
  <c r="N137" i="3"/>
  <c r="N134" i="3"/>
  <c r="N130" i="3"/>
  <c r="N126" i="3"/>
  <c r="N122" i="3"/>
  <c r="N118" i="3"/>
  <c r="N114" i="3"/>
  <c r="N110" i="3"/>
  <c r="N61" i="4"/>
  <c r="N104" i="3"/>
  <c r="N36" i="4"/>
  <c r="N98" i="3"/>
  <c r="N94" i="3"/>
  <c r="N90" i="3"/>
  <c r="N86" i="3"/>
  <c r="N82" i="3"/>
  <c r="N78" i="3"/>
  <c r="N74" i="3"/>
  <c r="N70" i="3"/>
  <c r="N66" i="3"/>
  <c r="N62" i="3"/>
  <c r="N33" i="4"/>
  <c r="N29" i="4"/>
  <c r="N56" i="3"/>
  <c r="N52" i="3"/>
  <c r="N26" i="4"/>
  <c r="N22" i="4"/>
  <c r="N38" i="3"/>
  <c r="N35" i="3"/>
  <c r="N31" i="3"/>
  <c r="N27" i="3"/>
  <c r="N58" i="4"/>
  <c r="N16" i="4"/>
  <c r="N15" i="3"/>
  <c r="N11" i="3"/>
  <c r="N8" i="3"/>
  <c r="N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<sst xmlns="http://schemas.openxmlformats.org/spreadsheetml/2006/main" count="5816" uniqueCount="2808">
  <si>
    <t>No Urut</t>
  </si>
  <si>
    <t>Nomor Induk</t>
  </si>
  <si>
    <t>Nama</t>
  </si>
  <si>
    <t>Tempat Lahir</t>
  </si>
  <si>
    <t>Tanggal Lahir</t>
  </si>
  <si>
    <t>Domisili</t>
  </si>
  <si>
    <t>Alamat Lengkap</t>
  </si>
  <si>
    <t>Nama Orang Tua</t>
  </si>
  <si>
    <t>Umur</t>
  </si>
  <si>
    <t>Wustha</t>
  </si>
  <si>
    <t>A</t>
  </si>
  <si>
    <t>Isti'dadiyah</t>
  </si>
  <si>
    <t>C3</t>
  </si>
  <si>
    <t>B</t>
  </si>
  <si>
    <t>Bondowoso</t>
  </si>
  <si>
    <t>Ula</t>
  </si>
  <si>
    <t>A 02</t>
  </si>
  <si>
    <t>Ulya</t>
  </si>
  <si>
    <t>A 03</t>
  </si>
  <si>
    <t>A 04</t>
  </si>
  <si>
    <t>A 05</t>
  </si>
  <si>
    <t>A 06</t>
  </si>
  <si>
    <t>A 07</t>
  </si>
  <si>
    <t>D 08</t>
  </si>
  <si>
    <t>A 08</t>
  </si>
  <si>
    <t>D 02</t>
  </si>
  <si>
    <t>D 12</t>
  </si>
  <si>
    <t>A 09</t>
  </si>
  <si>
    <t>A 10</t>
  </si>
  <si>
    <t>A 11</t>
  </si>
  <si>
    <t>A 12</t>
  </si>
  <si>
    <t>A 13</t>
  </si>
  <si>
    <t>A 14</t>
  </si>
  <si>
    <t>A 15</t>
  </si>
  <si>
    <t>A 16</t>
  </si>
  <si>
    <t>A 17</t>
  </si>
  <si>
    <t>A 18</t>
  </si>
  <si>
    <t>B 01</t>
  </si>
  <si>
    <t>B 02</t>
  </si>
  <si>
    <t>D 04</t>
  </si>
  <si>
    <t>B 03</t>
  </si>
  <si>
    <t>B 04</t>
  </si>
  <si>
    <t>B 05</t>
  </si>
  <si>
    <t>B 06</t>
  </si>
  <si>
    <t>D 10</t>
  </si>
  <si>
    <t>B 07</t>
  </si>
  <si>
    <t>B 08</t>
  </si>
  <si>
    <t>D 09</t>
  </si>
  <si>
    <t>B 09</t>
  </si>
  <si>
    <t>B 10</t>
  </si>
  <si>
    <t>B 11</t>
  </si>
  <si>
    <t>B 12</t>
  </si>
  <si>
    <t>B 13</t>
  </si>
  <si>
    <t>B 14</t>
  </si>
  <si>
    <t>B 15</t>
  </si>
  <si>
    <t>B 16</t>
  </si>
  <si>
    <t>D 11</t>
  </si>
  <si>
    <t>B 17</t>
  </si>
  <si>
    <t>C 01</t>
  </si>
  <si>
    <t>C 02</t>
  </si>
  <si>
    <t>C 03</t>
  </si>
  <si>
    <t>C 04</t>
  </si>
  <si>
    <t>C 05</t>
  </si>
  <si>
    <t>C 06</t>
  </si>
  <si>
    <t>C 07</t>
  </si>
  <si>
    <t>C 08</t>
  </si>
  <si>
    <t>C 09</t>
  </si>
  <si>
    <t>C 11</t>
  </si>
  <si>
    <t>C 12</t>
  </si>
  <si>
    <t>C 13</t>
  </si>
  <si>
    <t>C 14</t>
  </si>
  <si>
    <t>C 15</t>
  </si>
  <si>
    <t>C 16</t>
  </si>
  <si>
    <t>C 17</t>
  </si>
  <si>
    <t>D 01</t>
  </si>
  <si>
    <t>Jember</t>
  </si>
  <si>
    <t>D 03</t>
  </si>
  <si>
    <t>D 06</t>
  </si>
  <si>
    <t>D 07</t>
  </si>
  <si>
    <t>E</t>
  </si>
  <si>
    <t>E 02</t>
  </si>
  <si>
    <t>E 05</t>
  </si>
  <si>
    <t>E 06</t>
  </si>
  <si>
    <t>E 07</t>
  </si>
  <si>
    <t>E 08</t>
  </si>
  <si>
    <t>E 09</t>
  </si>
  <si>
    <t>M</t>
  </si>
  <si>
    <t>N</t>
  </si>
  <si>
    <t xml:space="preserve">N </t>
  </si>
  <si>
    <t>N 01</t>
  </si>
  <si>
    <t>1 SMA</t>
  </si>
  <si>
    <t>3D</t>
  </si>
  <si>
    <t xml:space="preserve"> </t>
  </si>
  <si>
    <t>Fitriyah</t>
  </si>
  <si>
    <t>Samsul Arifin</t>
  </si>
  <si>
    <t>Muhammad Yanto</t>
  </si>
  <si>
    <t>Ririn</t>
  </si>
  <si>
    <t>Mulyadi</t>
  </si>
  <si>
    <t>Sanusi</t>
  </si>
  <si>
    <t>Kholifa</t>
  </si>
  <si>
    <t>Abdul Hadi</t>
  </si>
  <si>
    <t>Abdus Salam</t>
  </si>
  <si>
    <t>Farid</t>
  </si>
  <si>
    <t xml:space="preserve">Bondowoso </t>
  </si>
  <si>
    <t>Rasi</t>
  </si>
  <si>
    <t>Muhammad Saiful Ulum</t>
  </si>
  <si>
    <t>Sumber Balen, Rt 19, Rw 4, Pakisan, Tlogosari, Bondowoso</t>
  </si>
  <si>
    <t>Wawan Hardiansyah</t>
  </si>
  <si>
    <t>Tutik</t>
  </si>
  <si>
    <t>Sulastri</t>
  </si>
  <si>
    <t>1A</t>
  </si>
  <si>
    <t>Jambeanom-Jambesari DS Bondowoso</t>
  </si>
  <si>
    <t>-</t>
  </si>
  <si>
    <t>3C</t>
  </si>
  <si>
    <t>Mochammad Lutfi Irwansyah</t>
  </si>
  <si>
    <t>Taman-Grujugan-Bondowoso</t>
  </si>
  <si>
    <t>Leni Dwi Putri</t>
  </si>
  <si>
    <t>2 SMA</t>
  </si>
  <si>
    <t>2A</t>
  </si>
  <si>
    <t>Muhammad Fitri Nur Rayyan Syah</t>
  </si>
  <si>
    <t>Tlogosari 016/004 Tlogosari Tlogosari Bondowoso</t>
  </si>
  <si>
    <t>Supandi</t>
  </si>
  <si>
    <t>Sukarsih</t>
  </si>
  <si>
    <t>3B</t>
  </si>
  <si>
    <t>Muhammad Farhan</t>
  </si>
  <si>
    <t>Pakel-Kasemek-Tenggarang-Bondowoso</t>
  </si>
  <si>
    <t>Junaidi / P. Munip</t>
  </si>
  <si>
    <t>Ye</t>
  </si>
  <si>
    <t>2B</t>
  </si>
  <si>
    <t>Faizal</t>
  </si>
  <si>
    <t>17 Agustus 2005</t>
  </si>
  <si>
    <t>Maskuning Kulon, 015/004, , Kec.Pujer, Kab.Bondowoso</t>
  </si>
  <si>
    <t>Mahmudi</t>
  </si>
  <si>
    <t>Sunarti</t>
  </si>
  <si>
    <t>Muhammad Irfan</t>
  </si>
  <si>
    <t>09 Oktober 2004</t>
  </si>
  <si>
    <t>Maskuning Kulon, Rt 011/Rw 003, , Kec. Pujer, Kab. Bondowoso</t>
  </si>
  <si>
    <t>Hartono</t>
  </si>
  <si>
    <t>Sumiati</t>
  </si>
  <si>
    <t>Muhammad Wahedi</t>
  </si>
  <si>
    <t>15 Juni 2002</t>
  </si>
  <si>
    <t>GENTONG</t>
  </si>
  <si>
    <t>Fairosi</t>
  </si>
  <si>
    <t>Sutrik</t>
  </si>
  <si>
    <t>3 SMA</t>
  </si>
  <si>
    <t>1E</t>
  </si>
  <si>
    <t>Ahmad Fauzan</t>
  </si>
  <si>
    <t>mahfudz</t>
  </si>
  <si>
    <t>Maryam</t>
  </si>
  <si>
    <t>Bondowoso,</t>
  </si>
  <si>
    <t>Supriadi</t>
  </si>
  <si>
    <t>Maskuning Wetan</t>
  </si>
  <si>
    <t>2D</t>
  </si>
  <si>
    <t>3A</t>
  </si>
  <si>
    <t>Maskuning Wetan-Pujer-Bondowoso</t>
  </si>
  <si>
    <t>Mochammad Fais Badrus Soleh</t>
  </si>
  <si>
    <t>Randu Cangkring 005/001 Randu Cangkring Pujer Bondowoso</t>
  </si>
  <si>
    <t>Ahmad Riyanto</t>
  </si>
  <si>
    <t>Siti Maryam</t>
  </si>
  <si>
    <t>Yazid Fauzan</t>
  </si>
  <si>
    <t>M. Yasin</t>
  </si>
  <si>
    <t>Sutiana</t>
  </si>
  <si>
    <t>Adit Aldian</t>
  </si>
  <si>
    <t>12 Juli 2007</t>
  </si>
  <si>
    <t>Jebung Kidul Tlogosari-Bondowoso</t>
  </si>
  <si>
    <t>Baihaki</t>
  </si>
  <si>
    <t>2C</t>
  </si>
  <si>
    <t>Muhammad Fahmi</t>
  </si>
  <si>
    <t>25 Desember 2005</t>
  </si>
  <si>
    <t xml:space="preserve">Tegal Mijin, Rt 007 / Rw 002, Kec.Grujugan, Kab.Bondowoso, </t>
  </si>
  <si>
    <t>Asin</t>
  </si>
  <si>
    <t>Sunariyah</t>
  </si>
  <si>
    <t>Abdul Wafi Ali Sandi</t>
  </si>
  <si>
    <t>29 Okt 2004</t>
  </si>
  <si>
    <t>Jebung Kidul</t>
  </si>
  <si>
    <t>Busiri</t>
  </si>
  <si>
    <t>Lukman Dainil Hakim</t>
  </si>
  <si>
    <t>17 Okt 2003</t>
  </si>
  <si>
    <t>Muhammad Tahir</t>
  </si>
  <si>
    <t>Sudarsih</t>
  </si>
  <si>
    <t>2 MTS</t>
  </si>
  <si>
    <t>Fauzi</t>
  </si>
  <si>
    <t>Sumyati</t>
  </si>
  <si>
    <t>Abdul Muis</t>
  </si>
  <si>
    <t>Patemon-Tlogosari-Bondowoso</t>
  </si>
  <si>
    <t>Kholifah</t>
  </si>
  <si>
    <t>Muhammad Ikbal</t>
  </si>
  <si>
    <t>26 Mei 2007</t>
  </si>
  <si>
    <t>Patemon, Rt 008/Rw 002, , Kec.Tlogosari, Kab.Bondowoso</t>
  </si>
  <si>
    <t>Holliq</t>
  </si>
  <si>
    <t>Suhaima</t>
  </si>
  <si>
    <t>Abrian Maulana</t>
  </si>
  <si>
    <t>Karyadi</t>
  </si>
  <si>
    <t>Suherno</t>
  </si>
  <si>
    <t>Rukayah</t>
  </si>
  <si>
    <t>Wiwin</t>
  </si>
  <si>
    <t>Holifah</t>
  </si>
  <si>
    <t>3 MTS</t>
  </si>
  <si>
    <t>1D</t>
  </si>
  <si>
    <t xml:space="preserve">Sunardi </t>
  </si>
  <si>
    <t>Muhammad hamdani Salim</t>
  </si>
  <si>
    <t>11 September 2003</t>
  </si>
  <si>
    <t>Dusun Karang timur, Rt 020/Rw 005, Desa Sumber Kemuning, Kec. Tamanan, kab. Bondowoso</t>
  </si>
  <si>
    <t>Mudarib</t>
  </si>
  <si>
    <t>Rmmanah</t>
  </si>
  <si>
    <t>Uswatun Hasanah</t>
  </si>
  <si>
    <t>1C</t>
  </si>
  <si>
    <t>Ahmad Taufikur Rahman</t>
  </si>
  <si>
    <t>09 Des 2006</t>
  </si>
  <si>
    <t>Alassumur Pujer Bondowoso</t>
  </si>
  <si>
    <t>Mohammad Prianto</t>
  </si>
  <si>
    <t>19 Juli 2007</t>
  </si>
  <si>
    <t>Dusun Krajan, Rt 001/ Rw, , 001Kec.Jambesari Darus Sholah, Kab.Bondowoso</t>
  </si>
  <si>
    <t>Alm. Justo</t>
  </si>
  <si>
    <t xml:space="preserve">Muryani </t>
  </si>
  <si>
    <t>Alfan Faizul Jalil</t>
  </si>
  <si>
    <t>26 April 2007</t>
  </si>
  <si>
    <t>Pringgondani-Sumber Jambe-Jember</t>
  </si>
  <si>
    <t>Achmad Fairuzi</t>
  </si>
  <si>
    <t>Ikayatus Sa'diyah</t>
  </si>
  <si>
    <t>Fikri</t>
  </si>
  <si>
    <t>11 November 2006</t>
  </si>
  <si>
    <t>sumber kemuning-tamanan-bondowoso</t>
  </si>
  <si>
    <t>Hasiful Waton</t>
  </si>
  <si>
    <t>Farida</t>
  </si>
  <si>
    <t>Sikri</t>
  </si>
  <si>
    <t>11 Nov 2006</t>
  </si>
  <si>
    <t>Sbr Kemuning</t>
  </si>
  <si>
    <t>Ahmad Romli</t>
  </si>
  <si>
    <t>Lutfiah</t>
  </si>
  <si>
    <t>Mohammad Agil</t>
  </si>
  <si>
    <t>10 Maret 2006</t>
  </si>
  <si>
    <t>Sumber Jeruk, Rt 014/ Rw 003, , kec.Jambesari Ds, Kab.Bondowoso</t>
  </si>
  <si>
    <t>Nurul Huda</t>
  </si>
  <si>
    <t>Sitti Royani</t>
  </si>
  <si>
    <t>Iqrom</t>
  </si>
  <si>
    <t>04 Januari 2001</t>
  </si>
  <si>
    <t>Dusun Krajan, Rt 009/Rw 002, Pengarang, Kec.Jambesari Darus Sholah, Kab.Bondowoso</t>
  </si>
  <si>
    <t>Agung Yuliantoro Effendi</t>
  </si>
  <si>
    <t>Iin Mudma Indayati</t>
  </si>
  <si>
    <t>4B</t>
  </si>
  <si>
    <t>Ahmad</t>
  </si>
  <si>
    <t>Mutmainnah</t>
  </si>
  <si>
    <t>1B</t>
  </si>
  <si>
    <t>Nawari</t>
  </si>
  <si>
    <t>Musta'in Adi</t>
  </si>
  <si>
    <t>6C</t>
  </si>
  <si>
    <t>02 Des 2006</t>
  </si>
  <si>
    <t>Cumedak-Sumber Jambe-jember</t>
  </si>
  <si>
    <t>Asmawi</t>
  </si>
  <si>
    <t>Toyana</t>
  </si>
  <si>
    <t>Candra Wahyudi</t>
  </si>
  <si>
    <t>18 Sep 2007</t>
  </si>
  <si>
    <t>Maskur</t>
  </si>
  <si>
    <t>Harisul Umam</t>
  </si>
  <si>
    <t>09 Juli 2007</t>
  </si>
  <si>
    <t>dusun sumber nangka 008/005-suko gidri ledokombo-jember</t>
  </si>
  <si>
    <t xml:space="preserve">Wasiah </t>
  </si>
  <si>
    <t>Fahrul Aqil Hidayatullah</t>
  </si>
  <si>
    <t>05 Juni 2007</t>
  </si>
  <si>
    <t>Ajung Mangli Cumeddak Sumber Jambe Jember</t>
  </si>
  <si>
    <t>Zainullah</t>
  </si>
  <si>
    <t>Salman Al Farisi</t>
  </si>
  <si>
    <t>06 Nov 2006</t>
  </si>
  <si>
    <t>Sukosari-sukowono-jember</t>
  </si>
  <si>
    <t>Tayyib</t>
  </si>
  <si>
    <t>LLS</t>
  </si>
  <si>
    <t>Sahril Kurniawan</t>
  </si>
  <si>
    <t>Dusun Sumber Nangka 008/003 Sukogidri Ledokombo Jember</t>
  </si>
  <si>
    <t>Hamdan</t>
  </si>
  <si>
    <t>Subaidah</t>
  </si>
  <si>
    <t>Anas Abdi Maulana</t>
  </si>
  <si>
    <t>05 Mei 2005</t>
  </si>
  <si>
    <t>Hairul Anam</t>
  </si>
  <si>
    <t>Busiya</t>
  </si>
  <si>
    <t>Muhammad Nafil</t>
  </si>
  <si>
    <t xml:space="preserve">, , , , </t>
  </si>
  <si>
    <t>Sutopo</t>
  </si>
  <si>
    <t>Alimudin</t>
  </si>
  <si>
    <t xml:space="preserve">Im Hasanah </t>
  </si>
  <si>
    <t>Situbondo</t>
  </si>
  <si>
    <t>Taufiqil Hakim</t>
  </si>
  <si>
    <t>dusun tenggina 11/03 sumberjeruk jambesari jambesari dasus sholah bondowoso</t>
  </si>
  <si>
    <t>Nawi</t>
  </si>
  <si>
    <t>Nur Hayati</t>
  </si>
  <si>
    <t>Junaidi</t>
  </si>
  <si>
    <t>Sumber Jeruk-Jambesari Darus Sholah-Bondowoso</t>
  </si>
  <si>
    <t>Muhammad Surijas</t>
  </si>
  <si>
    <t>Lilis Susilowati</t>
  </si>
  <si>
    <t>23 maret 2007</t>
  </si>
  <si>
    <t>dusun krajan 09/02 sumber jeruk-jambesari darus sholah-bondowoso</t>
  </si>
  <si>
    <t>Djamal</t>
  </si>
  <si>
    <t>Hosnul Khotimah</t>
  </si>
  <si>
    <t>Muhammad Mauroby</t>
  </si>
  <si>
    <t>Sumberjeruk Jambesari DS Bondowoso</t>
  </si>
  <si>
    <t>Nidin</t>
  </si>
  <si>
    <t>Murtiya</t>
  </si>
  <si>
    <t>Ahmad Shohibul Fadil</t>
  </si>
  <si>
    <t>Maskuning Wetan 015/004 Maskuning Wetan Pujer Bondowoso Jawa Timur</t>
  </si>
  <si>
    <t>Sukarwi</t>
  </si>
  <si>
    <t>Nur Asiseh</t>
  </si>
  <si>
    <t>Muhammad Nofal</t>
  </si>
  <si>
    <t>14 Agustus 2006</t>
  </si>
  <si>
    <t>Mengok-Pujer-Bondowoso</t>
  </si>
  <si>
    <t>Hosnan</t>
  </si>
  <si>
    <t xml:space="preserve">Sulas  </t>
  </si>
  <si>
    <t>Moh. Sufi</t>
  </si>
  <si>
    <t>Buardi</t>
  </si>
  <si>
    <t>Wakini</t>
  </si>
  <si>
    <t>Muhammad Royhan</t>
  </si>
  <si>
    <t>26 Oktober 2005</t>
  </si>
  <si>
    <t>Dusun Tengginah, Rt 011/Rw 003, Desa Sumber Jeruk, Kec.Jambesari DS, Kab. Bondowoso</t>
  </si>
  <si>
    <t>Muhammad Idris</t>
  </si>
  <si>
    <t>Haryati</t>
  </si>
  <si>
    <t>Mohammad Fahri</t>
  </si>
  <si>
    <t>20 Sep 2005</t>
  </si>
  <si>
    <t>Sumber Jeruk-Jambesari DS Bondowoso</t>
  </si>
  <si>
    <t>Jufri</t>
  </si>
  <si>
    <t>Maya Yunita</t>
  </si>
  <si>
    <t>Abd. Wafi</t>
  </si>
  <si>
    <t>Tengginah-Sumber Jeruk-jambesari ds-bondowoso</t>
  </si>
  <si>
    <t>Wahyu Aries Suyoko</t>
  </si>
  <si>
    <t>Muhammad Afandi</t>
  </si>
  <si>
    <t>Sumber Jeruk-Jambesari DS-Bondowoso</t>
  </si>
  <si>
    <t>M. Misto</t>
  </si>
  <si>
    <t>Muiseh</t>
  </si>
  <si>
    <t>Kamilul Iman</t>
  </si>
  <si>
    <t>17 April 2005</t>
  </si>
  <si>
    <t>Dusun Krajan, Rt 008/ Rw 002, Sumber Jeruk, Kec.Jambesari DS, Kab.Bondowoso</t>
  </si>
  <si>
    <t>Sumina</t>
  </si>
  <si>
    <t>M. Rosi</t>
  </si>
  <si>
    <t>Sumber Jeruk-Jambesari Ds-Bondowoso</t>
  </si>
  <si>
    <t>Sriyanto</t>
  </si>
  <si>
    <t>Subriyatul Hasanah</t>
  </si>
  <si>
    <t>Ilham</t>
  </si>
  <si>
    <t>Maskuning Wetan, , , Pujer, Bondowoso</t>
  </si>
  <si>
    <t>Hafid</t>
  </si>
  <si>
    <t>Kaima</t>
  </si>
  <si>
    <t>Ahmadi</t>
  </si>
  <si>
    <t>Dsn Karang Lumbung 005/002 Tegaljati Sumber Wringin Bondowoso Jawa Timur</t>
  </si>
  <si>
    <t>Muhammad Samsul Arifin</t>
  </si>
  <si>
    <t>Kasemek 018/009 Kasemek Tenggarang Bondowoso</t>
  </si>
  <si>
    <t>Ismail</t>
  </si>
  <si>
    <t>Astija</t>
  </si>
  <si>
    <t>Nailul Marom</t>
  </si>
  <si>
    <t>01 Januari 2007</t>
  </si>
  <si>
    <t>Mengok, Rt 013/ Rw 004, , Kec.Pujer, Kab.Bondowoso</t>
  </si>
  <si>
    <t>Suharto</t>
  </si>
  <si>
    <t>Rukyani Mandasari</t>
  </si>
  <si>
    <t>Imam Ahmad Subuki</t>
  </si>
  <si>
    <t>09 Sep 2007</t>
  </si>
  <si>
    <t>Moh. Ali</t>
  </si>
  <si>
    <t>Muhammad Afil</t>
  </si>
  <si>
    <t>12 April 2007</t>
  </si>
  <si>
    <t xml:space="preserve">Pringgondani, Rt 001/ Rw 010, Kec.Sumber Jambe, Kab.Jember, </t>
  </si>
  <si>
    <t>hafid ali</t>
  </si>
  <si>
    <t>tatik fardiasih</t>
  </si>
  <si>
    <t>Muhammad Indra Frayoga</t>
  </si>
  <si>
    <t>15 mei 2006</t>
  </si>
  <si>
    <t>Dusun Bates 003/10 Pringgondani-Sumber Jambe-Jember</t>
  </si>
  <si>
    <t>Seruji</t>
  </si>
  <si>
    <t>Siseh</t>
  </si>
  <si>
    <t>Muhammad Riski</t>
  </si>
  <si>
    <t>03 Oktober 2005</t>
  </si>
  <si>
    <t>Faosi</t>
  </si>
  <si>
    <t>Surik Artiningsih</t>
  </si>
  <si>
    <t>Riski Salam</t>
  </si>
  <si>
    <t>pekalangan-tenggarang-bondowoso</t>
  </si>
  <si>
    <t>Moh. Hosairi</t>
  </si>
  <si>
    <t>Umiyatun</t>
  </si>
  <si>
    <t>Mohammad faruk</t>
  </si>
  <si>
    <t>02 Oktober 2004</t>
  </si>
  <si>
    <t>Dusun Tol Tol, Rt 002/ Rw 013, Pringgondani, Kec.Sumber jambe, Kab.Jember</t>
  </si>
  <si>
    <t>Ishaq</t>
  </si>
  <si>
    <t>Usnatun Hasanah</t>
  </si>
  <si>
    <t>M.Hamdani Mubarok</t>
  </si>
  <si>
    <t>19 Januari 2004</t>
  </si>
  <si>
    <t>Dusun Sumber Bubuh, Rt 002/Rw 016, Desa sukosari, Kec.Sukowono, Kab. Jember</t>
  </si>
  <si>
    <t>Amsori</t>
  </si>
  <si>
    <t>Nur Imamah</t>
  </si>
  <si>
    <t>M.Mauzikni Fahmi</t>
  </si>
  <si>
    <t>Gabugan-Jambesari darus Sholah-Bondowoso</t>
  </si>
  <si>
    <t>Hermanto</t>
  </si>
  <si>
    <t>Hesam</t>
  </si>
  <si>
    <t>Salima</t>
  </si>
  <si>
    <t>Sunardi</t>
  </si>
  <si>
    <t>6A</t>
  </si>
  <si>
    <t>Rafik</t>
  </si>
  <si>
    <t>Bearum 001/001 Jambe Arum Sumber Jambe Jember</t>
  </si>
  <si>
    <t>Halilah</t>
  </si>
  <si>
    <t>Subaeri</t>
  </si>
  <si>
    <t>Mohammad Agus Salim</t>
  </si>
  <si>
    <t xml:space="preserve"> Agustus</t>
  </si>
  <si>
    <t>Dusun Karang Tengah, Rt 021/Rw 005, Jambenom, Kec.Jambesari Darus Sholah, Kab.Bondowoso</t>
  </si>
  <si>
    <t>Zaainal Arifin</t>
  </si>
  <si>
    <t>Ida Sulastri</t>
  </si>
  <si>
    <t>Nurul Yakin</t>
  </si>
  <si>
    <t>mohammad Jamhuri</t>
  </si>
  <si>
    <t>Sitti Aisyah</t>
  </si>
  <si>
    <t>Pringgondani</t>
  </si>
  <si>
    <t>Mustakim</t>
  </si>
  <si>
    <t>Moh. Hafidi</t>
  </si>
  <si>
    <t>Moh. Amin</t>
  </si>
  <si>
    <t>Nur Nazilah</t>
  </si>
  <si>
    <t>Royan</t>
  </si>
  <si>
    <t>Dusun Sukokebun 004/008 Pringgondani Sumberjambe Jember</t>
  </si>
  <si>
    <t>Haryadi</t>
  </si>
  <si>
    <t>Sofyan Syauri</t>
  </si>
  <si>
    <t>14 November 2003</t>
  </si>
  <si>
    <t>Dusun Paceh, Rt 002/ Rw 002, Jambearum, Kec.Sumber Jambe, Kab.Jember</t>
  </si>
  <si>
    <t>Faqih</t>
  </si>
  <si>
    <t>Latifah</t>
  </si>
  <si>
    <t>Sipul</t>
  </si>
  <si>
    <t>Jambeanom-Jambesari DS-Bondowoso</t>
  </si>
  <si>
    <t>Angsanah</t>
  </si>
  <si>
    <t>Fathorrasi</t>
  </si>
  <si>
    <t>jambeanom-jambeasri DS-Bondowoso</t>
  </si>
  <si>
    <t>Heryati</t>
  </si>
  <si>
    <t>Taufiqur Rahman</t>
  </si>
  <si>
    <t>06 Okt 2007</t>
  </si>
  <si>
    <t>Ismam</t>
  </si>
  <si>
    <t>Siti Aminatus S</t>
  </si>
  <si>
    <t>Moh. Arif Hidayat</t>
  </si>
  <si>
    <t>14 Desember 2006</t>
  </si>
  <si>
    <t>Maskuning Kulon-Pujer-Bondowoso</t>
  </si>
  <si>
    <t>FUAD AMI</t>
  </si>
  <si>
    <t>HAIDIFAH</t>
  </si>
  <si>
    <t>Hosnol Mobarok</t>
  </si>
  <si>
    <t>11 Mei 2007</t>
  </si>
  <si>
    <t>angsanah-jambesari DS-bondowoso</t>
  </si>
  <si>
    <t>Mathari</t>
  </si>
  <si>
    <t>Grujugan Kidul-Grujugan-Bondowoso</t>
  </si>
  <si>
    <t>Sulek-Tlogosari-Bondowoso</t>
  </si>
  <si>
    <t>Salamed</t>
  </si>
  <si>
    <t>Titin</t>
  </si>
  <si>
    <t>Ahmad Khoiril Anwar</t>
  </si>
  <si>
    <t>7 Agustus 2007</t>
  </si>
  <si>
    <t>Jebung kidul-Tlogosari-Bondowoso</t>
  </si>
  <si>
    <t>Salim</t>
  </si>
  <si>
    <t>Muhammad Deni Husniyanto</t>
  </si>
  <si>
    <t>12 Maret 2007</t>
  </si>
  <si>
    <t>Sulek-tlogosari-bondowoso</t>
  </si>
  <si>
    <t>Saruji</t>
  </si>
  <si>
    <t>Nisa</t>
  </si>
  <si>
    <t>STAI</t>
  </si>
  <si>
    <t>Muhammad Farhan Abdullah</t>
  </si>
  <si>
    <t>Jebung Kidul-Tlogosari-Bondowoso</t>
  </si>
  <si>
    <t>Zeyni</t>
  </si>
  <si>
    <t>Muhammad Bahril Rifky</t>
  </si>
  <si>
    <t>31 Januari 2003</t>
  </si>
  <si>
    <t>Desa Tlogosari, Rt 010/ Rw 003, , Kec.Tlogosari, Bondowoso</t>
  </si>
  <si>
    <t xml:space="preserve">Sujak </t>
  </si>
  <si>
    <t>Sa'iya</t>
  </si>
  <si>
    <t>Ayyub</t>
  </si>
  <si>
    <t>20 April 2001</t>
  </si>
  <si>
    <t>Sumber Balen, Rt 019/ Rw 004, Pakisan, Kec.Tlogosari, Kab.Bondowoso</t>
  </si>
  <si>
    <t>Ubaidillah</t>
  </si>
  <si>
    <t>Hosniyatun</t>
  </si>
  <si>
    <t>Hatija</t>
  </si>
  <si>
    <t>Suryadi</t>
  </si>
  <si>
    <t>Jambesari-Jambesari DS-Bondowoso</t>
  </si>
  <si>
    <t>Samsuri</t>
  </si>
  <si>
    <t>Rahmawati</t>
  </si>
  <si>
    <t>Mochammad Rizal</t>
  </si>
  <si>
    <t>Kalianyar-Tamanan-bondowoso</t>
  </si>
  <si>
    <t>Mastuki</t>
  </si>
  <si>
    <t>Nailatul Fadilah</t>
  </si>
  <si>
    <t>Muhammad Hasan Nurdin</t>
  </si>
  <si>
    <t>12 April 2005</t>
  </si>
  <si>
    <t>Dusun Krajan, Rt 002/ Rw 001, Kalianyar, Kec.Tamanan, Kab.Bondowoso</t>
  </si>
  <si>
    <t>Mohammad Ridwan</t>
  </si>
  <si>
    <t>Lojajar-Tenggarang-Bondowoso</t>
  </si>
  <si>
    <t>Sudarsono</t>
  </si>
  <si>
    <t>Rahma</t>
  </si>
  <si>
    <t xml:space="preserve">Syamsul Arifin </t>
  </si>
  <si>
    <t>08 Agustus 2003</t>
  </si>
  <si>
    <t>Dusun Sumber Bajur, Rt 010/ Rw 004, Kemirian, Kec.Tamanan, Kab.Bondowoso</t>
  </si>
  <si>
    <t>Saifullah</t>
  </si>
  <si>
    <t>Sovin Suraida</t>
  </si>
  <si>
    <t>Aril</t>
  </si>
  <si>
    <t>Gabugan 018/004 Jambesari Jambesari Darus Sholah Bondowoso</t>
  </si>
  <si>
    <t>Mattasin</t>
  </si>
  <si>
    <t>Kusniyah</t>
  </si>
  <si>
    <t>Muhammad Alan Widarsyah</t>
  </si>
  <si>
    <t>Kalianyar, , , Tamanan, Bondowoso</t>
  </si>
  <si>
    <t>Juharman</t>
  </si>
  <si>
    <t>Halimatus Sakdiyah</t>
  </si>
  <si>
    <t>Muhammad Hasan Bulqiyah</t>
  </si>
  <si>
    <t>23 Juni 2005</t>
  </si>
  <si>
    <t>Gabugan-Jambesari DS-Bondowoso</t>
  </si>
  <si>
    <t>Misbahul Munir</t>
  </si>
  <si>
    <t>Miswati</t>
  </si>
  <si>
    <t>Muhammad Suyono</t>
  </si>
  <si>
    <t>07 Juli 2003</t>
  </si>
  <si>
    <t>Jambeanom, , , Jambesari DS, Bondowoso</t>
  </si>
  <si>
    <t>Abdur Rasyid</t>
  </si>
  <si>
    <t>Juharoh</t>
  </si>
  <si>
    <t>Halimah</t>
  </si>
  <si>
    <t>Muhammad Ubaidillah Faqih</t>
  </si>
  <si>
    <t>5 Maret 2007</t>
  </si>
  <si>
    <t>Cangkring Grujugan Lor-Jambesari DS-Bondowoso</t>
  </si>
  <si>
    <t>Munawar</t>
  </si>
  <si>
    <t>Misbahul Munirah</t>
  </si>
  <si>
    <t>Ifadhal Dinan</t>
  </si>
  <si>
    <t>20 Februari 2006</t>
  </si>
  <si>
    <t>Dusun Krajan, Rt 001/ Rw 005, Pringgondani, Kec.Sumber Jambe, Kab.Jember</t>
  </si>
  <si>
    <t>Sugiarto</t>
  </si>
  <si>
    <t>Siti Halimah</t>
  </si>
  <si>
    <t>Muhammad Rifqi</t>
  </si>
  <si>
    <t>12 Des 2004</t>
  </si>
  <si>
    <t>Suhaini</t>
  </si>
  <si>
    <t>Moh. Fadli</t>
  </si>
  <si>
    <t>07 April 2005</t>
  </si>
  <si>
    <t>Dusun Karang Sampurna, Rt 005/ Rw 001, Jambearum, Kec.Sumber Jambe, Kab.Jember</t>
  </si>
  <si>
    <t>Muhyidin</t>
  </si>
  <si>
    <t>Rosidah</t>
  </si>
  <si>
    <t>Ainul Fattah Al Qiromi</t>
  </si>
  <si>
    <t>28 Maret 2005</t>
  </si>
  <si>
    <t>Pringgondani, , , Sumber Jambe, Jember</t>
  </si>
  <si>
    <t>Ashari</t>
  </si>
  <si>
    <t>Soamna</t>
  </si>
  <si>
    <t>Muhammad Maltuf</t>
  </si>
  <si>
    <t>Dusun Taman Burnih, Rt 004/ Rw 002, Pringgondani, Kec.Sumber Jambe, Kab.Jember</t>
  </si>
  <si>
    <t>Saniman</t>
  </si>
  <si>
    <t>Afandi Maulana</t>
  </si>
  <si>
    <t>20 Maret 2005</t>
  </si>
  <si>
    <t xml:space="preserve">Nidan </t>
  </si>
  <si>
    <t>Rolayya</t>
  </si>
  <si>
    <t>Samsul Arifin B</t>
  </si>
  <si>
    <t>05 September 2006</t>
  </si>
  <si>
    <t xml:space="preserve">Mengok, 001/001, Kec.Pujer, Kab.Bondowoso, </t>
  </si>
  <si>
    <t>Kurdi</t>
  </si>
  <si>
    <t>Hafit</t>
  </si>
  <si>
    <t>15 Juni 2006</t>
  </si>
  <si>
    <t>Supar</t>
  </si>
  <si>
    <t>Nursiya</t>
  </si>
  <si>
    <t>Nur Aini</t>
  </si>
  <si>
    <t>Astutik</t>
  </si>
  <si>
    <t>Sutrisno</t>
  </si>
  <si>
    <t>Asyari</t>
  </si>
  <si>
    <t>Sukodono-Pujer-Bondowoso</t>
  </si>
  <si>
    <t>Hozaimah</t>
  </si>
  <si>
    <t>Sevi Heryadi</t>
  </si>
  <si>
    <t>Sukowono, Rt 11, Rw 3, Sukowono, Pujer, Bondowoso</t>
  </si>
  <si>
    <t>Hasan</t>
  </si>
  <si>
    <t>Zainab</t>
  </si>
  <si>
    <t>Muhammat Rizalallah</t>
  </si>
  <si>
    <t>18 JULI 2006</t>
  </si>
  <si>
    <t>Dusun Gabugan 012/003 Jambesari Jambesari Darus Sholah Bondowoso</t>
  </si>
  <si>
    <t>Abd. Wahid</t>
  </si>
  <si>
    <t>Karyati</t>
  </si>
  <si>
    <t>Moch. Fahrur Rohil</t>
  </si>
  <si>
    <t>20 Juni 2006</t>
  </si>
  <si>
    <t>Gabugan</t>
  </si>
  <si>
    <t>Abdul Munif</t>
  </si>
  <si>
    <t>Malihah</t>
  </si>
  <si>
    <t>Abd. Qodir Jailani</t>
  </si>
  <si>
    <t>08 Oktober 2005</t>
  </si>
  <si>
    <t>Sulek, Rt 006/ Rw 003, , Kec.Tlogosari, Kab.Bondowoso</t>
  </si>
  <si>
    <t>Erri</t>
  </si>
  <si>
    <t>Imam Thobrani</t>
  </si>
  <si>
    <t>09 Desember 2004</t>
  </si>
  <si>
    <t>Dusun Silowogo, 009/003, Kemirian, Kec.Tamanan, Kab.Bondowoso</t>
  </si>
  <si>
    <t>Juhari</t>
  </si>
  <si>
    <t>Muhammad Solihin</t>
  </si>
  <si>
    <t>16 November 2004</t>
  </si>
  <si>
    <t>Gunosari, Rt 003/ Rw 001, , Kec.Tlogosari, Kab.Bondowoso</t>
  </si>
  <si>
    <t>Abdurrahim</t>
  </si>
  <si>
    <t>Rosmawati</t>
  </si>
  <si>
    <t>Ferdi Ferdian Saputra</t>
  </si>
  <si>
    <t>18 Juni 2004</t>
  </si>
  <si>
    <t>Gunosari, 033/005, , Kec.Tlogosari, Kab.Bondowoso</t>
  </si>
  <si>
    <t>Qudsiyah</t>
  </si>
  <si>
    <t>Muhammad Zainurrofiq</t>
  </si>
  <si>
    <t>03 Maret 2004</t>
  </si>
  <si>
    <t>Sumber Jeruk, Rt 005/Rw 002, , Kec.Jambesari DS, Kab.Bondowoso</t>
  </si>
  <si>
    <t>Syairozi</t>
  </si>
  <si>
    <t>Hamidatul Hasanah</t>
  </si>
  <si>
    <t>Muhammad Tolak</t>
  </si>
  <si>
    <t>28 Juni 2003</t>
  </si>
  <si>
    <t>gunusari-tlogosari-bondowoso</t>
  </si>
  <si>
    <t>Ru'yanto</t>
  </si>
  <si>
    <t>Hendra</t>
  </si>
  <si>
    <t>07 April 2003</t>
  </si>
  <si>
    <t>Gunosari, Rt 028/Rw 004, , Kec.Tlogosari, Kab.Bondowoso</t>
  </si>
  <si>
    <t>burawi</t>
  </si>
  <si>
    <t>bebun</t>
  </si>
  <si>
    <t>Muzaiyanah</t>
  </si>
  <si>
    <t>Muhammad Anshori</t>
  </si>
  <si>
    <t>27 JULI 2007</t>
  </si>
  <si>
    <t>DUSUN BATUAN 009/002 JAMBEANOM JAMBESARI DARUS SHOLAH BONDOWOSO</t>
  </si>
  <si>
    <t>Surawi</t>
  </si>
  <si>
    <t>Hairiyah</t>
  </si>
  <si>
    <t>Ifan Wahyudi</t>
  </si>
  <si>
    <t>05 Juli 2006</t>
  </si>
  <si>
    <t>Dusun Batuan</t>
  </si>
  <si>
    <t>Agus Salim</t>
  </si>
  <si>
    <t>Safiratul Kufaili</t>
  </si>
  <si>
    <t>Imam Adibi</t>
  </si>
  <si>
    <t>Hayati</t>
  </si>
  <si>
    <t>Nur Hadi</t>
  </si>
  <si>
    <t>11 Maret 2005</t>
  </si>
  <si>
    <t>Batuan Jambeanom, Rt 003 / Rw 001, , Kec.Jambesari DS, Kab.Bondowoso</t>
  </si>
  <si>
    <t>Akhmad</t>
  </si>
  <si>
    <t>Jumainnah</t>
  </si>
  <si>
    <t>Ahmad Zaenul</t>
  </si>
  <si>
    <t xml:space="preserve">05 April 2004 </t>
  </si>
  <si>
    <t>Maskuning Wetan, 017/004, , Pujer, Bondowoso</t>
  </si>
  <si>
    <t>Syafik Hariri</t>
  </si>
  <si>
    <t>Muhammad Zafil</t>
  </si>
  <si>
    <t xml:space="preserve">20 Desember 2006 </t>
  </si>
  <si>
    <t>Dusun Krajan, Rt 029/ Rw 006, Jambeanom, Kec.Jambesari Ds, Kab.Bondowoso</t>
  </si>
  <si>
    <t>Moh. Faozi</t>
  </si>
  <si>
    <t>Mirnawati</t>
  </si>
  <si>
    <t xml:space="preserve">Ahmad Naufal </t>
  </si>
  <si>
    <t>Hairul</t>
  </si>
  <si>
    <t>Faikatul Jannah</t>
  </si>
  <si>
    <t>Mudesser</t>
  </si>
  <si>
    <t>Jambeanum Rt.25/Rw.05 Jambesari Ds Bondowoso</t>
  </si>
  <si>
    <t>Muklis</t>
  </si>
  <si>
    <t>Rizky Khoiriyah</t>
  </si>
  <si>
    <t>M. Hakiki</t>
  </si>
  <si>
    <t>01 Februari 2006</t>
  </si>
  <si>
    <t>Dusun Krajan, Rt 033/ Rw 005, Jambeanom, Kec.Jambesari DS, Kab.Bondowoso</t>
  </si>
  <si>
    <t>Holidul Khoir</t>
  </si>
  <si>
    <t>26 Okt 2005</t>
  </si>
  <si>
    <t>Jambeanum</t>
  </si>
  <si>
    <t>Muhammad Rofiqi</t>
  </si>
  <si>
    <t xml:space="preserve">Kalianyar Tamanan Bondowoso, , , , </t>
  </si>
  <si>
    <t>Tut Syafi'iyah</t>
  </si>
  <si>
    <t>Fauzen Amin</t>
  </si>
  <si>
    <t>23 Februari 2004</t>
  </si>
  <si>
    <t>Desa Patemon, Rt 001/Rw 004, , Kec. Tlogosari, Kab. Bondowoso</t>
  </si>
  <si>
    <t>Mahfud</t>
  </si>
  <si>
    <t>Elok Soraya</t>
  </si>
  <si>
    <t>Saiful Bahri</t>
  </si>
  <si>
    <t>Tumiyah</t>
  </si>
  <si>
    <t>Suhriya</t>
  </si>
  <si>
    <t>Muhammad Nauval Hadi</t>
  </si>
  <si>
    <t>27/01/2007</t>
  </si>
  <si>
    <t>Randu Cangkring-pujer-bondowoso</t>
  </si>
  <si>
    <t>Miskadi</t>
  </si>
  <si>
    <t>Basriati</t>
  </si>
  <si>
    <t>M. Hidayat</t>
  </si>
  <si>
    <t>Sukowono-Pujer-Bondowoso</t>
  </si>
  <si>
    <t>Surahmat</t>
  </si>
  <si>
    <t>M. Ali Ghufron</t>
  </si>
  <si>
    <t>Djatim Ariadi Santoso Kusumo</t>
  </si>
  <si>
    <t>Siti Rukmini Rukayah</t>
  </si>
  <si>
    <t>Abdullah</t>
  </si>
  <si>
    <t>Moch. Mahfudz Sholeh</t>
  </si>
  <si>
    <t>17 Mei 2005</t>
  </si>
  <si>
    <t>KEMBANG</t>
  </si>
  <si>
    <t>Rusyana</t>
  </si>
  <si>
    <t>Muhammad Ilhaqus Sholeh</t>
  </si>
  <si>
    <t>6 April 2005</t>
  </si>
  <si>
    <t>PANGGANG</t>
  </si>
  <si>
    <t>Moh. Baharudin</t>
  </si>
  <si>
    <t>Muhammad Amrullah</t>
  </si>
  <si>
    <t>Tlogosari-Tlogosari-Bondowoso</t>
  </si>
  <si>
    <t>Muhammad Ali Gufron</t>
  </si>
  <si>
    <t>19 Juli 2004</t>
  </si>
  <si>
    <t>Pengarang 14/03 Jambesari DS-bondowoso</t>
  </si>
  <si>
    <t>Rodiyah</t>
  </si>
  <si>
    <t>Bahrul Ulum</t>
  </si>
  <si>
    <t>06 Juni 2004</t>
  </si>
  <si>
    <t>Abd. Basid</t>
  </si>
  <si>
    <t>Nur Hasanah</t>
  </si>
  <si>
    <t>Misyati</t>
  </si>
  <si>
    <t>Taufik</t>
  </si>
  <si>
    <t>Siti Nur Holifah</t>
  </si>
  <si>
    <t>Hasyim</t>
  </si>
  <si>
    <t>Nuraini</t>
  </si>
  <si>
    <t>Fitri</t>
  </si>
  <si>
    <t>Hidayati</t>
  </si>
  <si>
    <t>Sukodono-Pujer-bondowoso</t>
  </si>
  <si>
    <t>Kafil</t>
  </si>
  <si>
    <t>Sukowono 001/001 -Pujer-Bondowoso</t>
  </si>
  <si>
    <t>Asmuni</t>
  </si>
  <si>
    <t>Sittina</t>
  </si>
  <si>
    <t>Muhammad Iqbal Firdaus</t>
  </si>
  <si>
    <t>Sukodono 03/02 Sukodono Pujer Bondowoso</t>
  </si>
  <si>
    <t>Nursidi</t>
  </si>
  <si>
    <t>Niseh Yanti</t>
  </si>
  <si>
    <t>Malik Fauzi</t>
  </si>
  <si>
    <t xml:space="preserve">Kuswati </t>
  </si>
  <si>
    <t>Abdul Latip</t>
  </si>
  <si>
    <t>18 Juni 2007</t>
  </si>
  <si>
    <t>Mengok, 026/004, , kec.Pujer, Kab.Bondowoso</t>
  </si>
  <si>
    <t>Muhammad Lutfi</t>
  </si>
  <si>
    <t>Sefril Hidayat</t>
  </si>
  <si>
    <t>Hafid Muhsin</t>
  </si>
  <si>
    <t>Marwiyah</t>
  </si>
  <si>
    <t>Moch. Fa'izud Darin</t>
  </si>
  <si>
    <t>11 Maret 2006</t>
  </si>
  <si>
    <t>Sukodono Rt 003/Rw 002 Pujer Bondowoso</t>
  </si>
  <si>
    <t>Bagus Wahono</t>
  </si>
  <si>
    <t>Halimatus Sa'diyeh</t>
  </si>
  <si>
    <t>Zulfikri</t>
  </si>
  <si>
    <t>26 November 2004</t>
  </si>
  <si>
    <t>Tlogosari-tlogosari-bondowoso</t>
  </si>
  <si>
    <t>WAHYUDI</t>
  </si>
  <si>
    <t>Susilowati</t>
  </si>
  <si>
    <t>Muhammad Ahmadi</t>
  </si>
  <si>
    <t>01 JULI 2005</t>
  </si>
  <si>
    <t>Dusun Ketibil 002/015 Pringgondani Sumber Jambe Jember</t>
  </si>
  <si>
    <t>Muzakki</t>
  </si>
  <si>
    <t>Maimunah</t>
  </si>
  <si>
    <t>Muhammad Nailul Amani</t>
  </si>
  <si>
    <t>Sukodono, Rt 004/Rw 002, , Kec. Pujer, Kab. Bondowoso</t>
  </si>
  <si>
    <t>Abdul Kholik</t>
  </si>
  <si>
    <t>09 September2004</t>
  </si>
  <si>
    <t>Sukodono, 005/003, , Kec.Pujer, Kab.Bondowoso</t>
  </si>
  <si>
    <t>Sunarto</t>
  </si>
  <si>
    <t>Mohammad Warisandi</t>
  </si>
  <si>
    <t>09 November 2003</t>
  </si>
  <si>
    <t xml:space="preserve">Desa Sukodono, Rt 006/ Rw 003, Kec.Pujer, Kab.Bondowoso, </t>
  </si>
  <si>
    <t>Siriyanto</t>
  </si>
  <si>
    <t>Pusimawati</t>
  </si>
  <si>
    <t>Supriyadi</t>
  </si>
  <si>
    <t>mangli-pujer-bondowoso</t>
  </si>
  <si>
    <t>M. Hakiki Farel</t>
  </si>
  <si>
    <t>Dusun Plalangan 001/014 Pringgondani Sumberjambe Jember Jawa Timur</t>
  </si>
  <si>
    <t xml:space="preserve">Abdul Wafi </t>
  </si>
  <si>
    <t xml:space="preserve">Hayani </t>
  </si>
  <si>
    <t>Ibnu Mu'ti</t>
  </si>
  <si>
    <t>06 Maret 2007</t>
  </si>
  <si>
    <t>Mangli, Rt 007/Rw 002, , Pujer, Bondowoso</t>
  </si>
  <si>
    <t>Moch. Kholil</t>
  </si>
  <si>
    <t>Hafidi</t>
  </si>
  <si>
    <t>Sukokerto 006/002 Sukokerto Pujer Bondowoso Jawa Timur</t>
  </si>
  <si>
    <t>BUHARI</t>
  </si>
  <si>
    <t>TURAH</t>
  </si>
  <si>
    <t>M. Rifqi Holil</t>
  </si>
  <si>
    <t>29 Mei 2006</t>
  </si>
  <si>
    <t>Mangli-pujer-bondowoso</t>
  </si>
  <si>
    <t>Edi Afandi</t>
  </si>
  <si>
    <t>Suhadiyah</t>
  </si>
  <si>
    <t>Mochammad Fadil</t>
  </si>
  <si>
    <t>Sukokerto-pujer-bondowoso</t>
  </si>
  <si>
    <t>Muhammad Kholil</t>
  </si>
  <si>
    <t>Misni</t>
  </si>
  <si>
    <t>Rofiki</t>
  </si>
  <si>
    <t>27 Maret 2005</t>
  </si>
  <si>
    <t>Desa Sukokerto, Rt 007/Rw 004, , Kec.Pujer, Kab.Bondowoso</t>
  </si>
  <si>
    <t>Abdul Aziz</t>
  </si>
  <si>
    <t>Zaenab</t>
  </si>
  <si>
    <t>Sholeh</t>
  </si>
  <si>
    <t>23 Okt 2004</t>
  </si>
  <si>
    <t>sukokerto-pujer-bondowoso</t>
  </si>
  <si>
    <t>Surdi Atmojo</t>
  </si>
  <si>
    <t>Seinap</t>
  </si>
  <si>
    <t>Ahmad Hakiki</t>
  </si>
  <si>
    <t>10 Januari 2004</t>
  </si>
  <si>
    <t>Wiwik Hijriyah</t>
  </si>
  <si>
    <t>Muhammad Rifki</t>
  </si>
  <si>
    <t>Sukodoono-Pujer-Bondowoso</t>
  </si>
  <si>
    <t>Ni Kadek Anis Ariani</t>
  </si>
  <si>
    <t>Muhamad Ronald Fadli</t>
  </si>
  <si>
    <t>14 Jan 2006</t>
  </si>
  <si>
    <t>Mohammad Sukri</t>
  </si>
  <si>
    <t>Siti Muflihah</t>
  </si>
  <si>
    <t>Hamdani Agiel</t>
  </si>
  <si>
    <t>08 Juni 2006</t>
  </si>
  <si>
    <t>Maskuning Wetan, Rt 001 / Rw 001, , Kec.Pujer, Kab.Bondowoso</t>
  </si>
  <si>
    <t>Murtiah</t>
  </si>
  <si>
    <t>M Lukman Al Farisi</t>
  </si>
  <si>
    <t>01 Juni 2006</t>
  </si>
  <si>
    <t>Sukodono-pujer-bondowos</t>
  </si>
  <si>
    <t>Sahari</t>
  </si>
  <si>
    <t xml:space="preserve"> Puyami</t>
  </si>
  <si>
    <t>Abdul Wazar</t>
  </si>
  <si>
    <t>16 Mei 2005</t>
  </si>
  <si>
    <t>Desa Sukodono, Rt010/Rw 004, , Kec.Pujer, Kab. Bondowoso</t>
  </si>
  <si>
    <t>Moh Farid</t>
  </si>
  <si>
    <t>Anas Zaini</t>
  </si>
  <si>
    <t>Moch Samsul Bahri</t>
  </si>
  <si>
    <t>Muhammad Sony</t>
  </si>
  <si>
    <t>17 Oktober 2003</t>
  </si>
  <si>
    <t>Alassumur, Rt 003/ Rw 001, , Kec.Pujer, Kab.Bondowoso</t>
  </si>
  <si>
    <t>Abdul Harif</t>
  </si>
  <si>
    <t>Lailatul Munawaroh</t>
  </si>
  <si>
    <t>Ahmad Tiofelani</t>
  </si>
  <si>
    <t>Alassumur-Pujer-Bondowoso</t>
  </si>
  <si>
    <t>Sunar</t>
  </si>
  <si>
    <t>Aswati</t>
  </si>
  <si>
    <t>Ilham Maulidi Romadani</t>
  </si>
  <si>
    <t>Pengarang-Jambesari Darus Sholah-Bobdowoso</t>
  </si>
  <si>
    <t>Umar Faruq</t>
  </si>
  <si>
    <t>Zainatun</t>
  </si>
  <si>
    <t>Fadil Sabilillah</t>
  </si>
  <si>
    <t>07 Desember 2005</t>
  </si>
  <si>
    <t>Heryanto</t>
  </si>
  <si>
    <t>Tipyani</t>
  </si>
  <si>
    <t>M. Wahyudi</t>
  </si>
  <si>
    <t>30 Agustus 2006</t>
  </si>
  <si>
    <t>Pelalangan</t>
  </si>
  <si>
    <t>Muhyid</t>
  </si>
  <si>
    <t>Rasita</t>
  </si>
  <si>
    <t>Gunawan</t>
  </si>
  <si>
    <t>07 Agustus 2005</t>
  </si>
  <si>
    <t>Sempol Ijen Bondowoso</t>
  </si>
  <si>
    <t>Herpandi</t>
  </si>
  <si>
    <t>Sofan Ali Zein</t>
  </si>
  <si>
    <t>Sukokerto-Pujer-Bondowoso</t>
  </si>
  <si>
    <t>Mohlis</t>
  </si>
  <si>
    <t>Ahmad Sofyan Widiyanto</t>
  </si>
  <si>
    <t>Sumber Anom-Tamanan-Bondowoso</t>
  </si>
  <si>
    <t>Alfin Maulana</t>
  </si>
  <si>
    <t>10 Mei 2007</t>
  </si>
  <si>
    <t>Karang Tengah</t>
  </si>
  <si>
    <t>Asnawi</t>
  </si>
  <si>
    <t>M.Kiki Kristanto</t>
  </si>
  <si>
    <t>29 Januari 2007</t>
  </si>
  <si>
    <t>Sriwantini</t>
  </si>
  <si>
    <t>Ali Humaidi</t>
  </si>
  <si>
    <t>26 november 2004</t>
  </si>
  <si>
    <t>Dusun Gunung, Rt 002/ Rw 001, Desa Maskuning Wetan, Kec. Pujer, Kab. Bondowoso</t>
  </si>
  <si>
    <t>Sugianto</t>
  </si>
  <si>
    <t>Ahmad Fajar</t>
  </si>
  <si>
    <t>29 Sep 2003</t>
  </si>
  <si>
    <t>Sbr Anom-tamanan-bondowoso</t>
  </si>
  <si>
    <t>Muhammad Djasuli</t>
  </si>
  <si>
    <t>Rahmah</t>
  </si>
  <si>
    <t>Fatimah</t>
  </si>
  <si>
    <t>Buhari</t>
  </si>
  <si>
    <t>Muhammad Hodri</t>
  </si>
  <si>
    <t>Rismatul Hasanah</t>
  </si>
  <si>
    <t xml:space="preserve">Fawa'id </t>
  </si>
  <si>
    <t>Tlogosari - Tlogosari - Bondowoso</t>
  </si>
  <si>
    <t>Luluk Arifin</t>
  </si>
  <si>
    <t>Fitriyatin</t>
  </si>
  <si>
    <t>Irvan Maulana</t>
  </si>
  <si>
    <t>06 Agustus 2004</t>
  </si>
  <si>
    <t xml:space="preserve">Taman, Rt 065/ Rw 007, Kec.Grujugan, Kab.Bondowoso, </t>
  </si>
  <si>
    <t>Zainal Aripin</t>
  </si>
  <si>
    <t>Saulliha</t>
  </si>
  <si>
    <t>bondowoso</t>
  </si>
  <si>
    <t>Muhammad Ilham Robbi</t>
  </si>
  <si>
    <t>Randu Cangkring 011/002 Randu Cangkring Pujer Bondowoso Jawa Timur</t>
  </si>
  <si>
    <t>Abdul Hamid</t>
  </si>
  <si>
    <t>Wiwik Asiska</t>
  </si>
  <si>
    <t>Miftahul Arifin</t>
  </si>
  <si>
    <t>Pakauman Grujugan Bondowoso</t>
  </si>
  <si>
    <t>Solehati</t>
  </si>
  <si>
    <t>Gunosari-Tlogosari-Bondowoso</t>
  </si>
  <si>
    <t>2 SMP</t>
  </si>
  <si>
    <t>Muhammad Fikri</t>
  </si>
  <si>
    <t>Mistur</t>
  </si>
  <si>
    <t>Holkiyah</t>
  </si>
  <si>
    <t>Farhan Ali</t>
  </si>
  <si>
    <t>22 Agustus 2007</t>
  </si>
  <si>
    <t>trotosari-tlogosari-bondowoso</t>
  </si>
  <si>
    <t>Muhammad Muftir</t>
  </si>
  <si>
    <t>Suryani</t>
  </si>
  <si>
    <t>Anasrullah</t>
  </si>
  <si>
    <t>11 Juli 2007</t>
  </si>
  <si>
    <t>Maskuning Wetan - Pujer - Bondowoso</t>
  </si>
  <si>
    <t>Dahlan</t>
  </si>
  <si>
    <t>Mohammad Fadil Basori</t>
  </si>
  <si>
    <t>MAHFUD ALI</t>
  </si>
  <si>
    <t>NIKHEN YULIYASARI</t>
  </si>
  <si>
    <t>Saiful Hikam</t>
  </si>
  <si>
    <t>Trotosari-Tlogosari-Bondowoso</t>
  </si>
  <si>
    <t>Suto</t>
  </si>
  <si>
    <t>Muhammad Imam Udaifin</t>
  </si>
  <si>
    <t>14 Maret 2005</t>
  </si>
  <si>
    <t>Pakisan, Rt 021/Rw 004, , Kec.Tlogosari, Kab.Bondowoso</t>
  </si>
  <si>
    <t>Tosi</t>
  </si>
  <si>
    <t>Holipah</t>
  </si>
  <si>
    <t xml:space="preserve">Royhan </t>
  </si>
  <si>
    <t>21 September 2004</t>
  </si>
  <si>
    <t>Trotosari, Rt 009 / Rw 003, , Kec. Tlogosari, Kab.Bondowoso</t>
  </si>
  <si>
    <t>Misbah</t>
  </si>
  <si>
    <t>Ulfa Hasanah</t>
  </si>
  <si>
    <t>Wildan Khoezenol Asror</t>
  </si>
  <si>
    <t>14 Februari 2004</t>
  </si>
  <si>
    <t>Jl.Cumi - cumi, Rt 003/Rw 011, Desa Mencek, Kec. Sukorambi, Kab. Jember</t>
  </si>
  <si>
    <t>moh.zahrawi musa</t>
  </si>
  <si>
    <t>mardiyah</t>
  </si>
  <si>
    <t>Muhammad Nafik Maulana Ibrohim</t>
  </si>
  <si>
    <t>21 Februari 2003</t>
  </si>
  <si>
    <t>Trotosari, Rt 007 / Rw 002, , Kec. Tlogosari, Kab.Bondowoso</t>
  </si>
  <si>
    <t>Muhammad Soarji</t>
  </si>
  <si>
    <t>Sunarifah</t>
  </si>
  <si>
    <t>Brambang Darussalam-Tlogosari-Bondowoso</t>
  </si>
  <si>
    <t>Abdul Ghafur</t>
  </si>
  <si>
    <t>Mangli 013/003 Mangli Pujer Bondowoso Jawa Timur</t>
  </si>
  <si>
    <t>brambang DS-tlogosari-bondowoso</t>
  </si>
  <si>
    <t>Muhammad Rizal Kurnia</t>
  </si>
  <si>
    <t>Masdar</t>
  </si>
  <si>
    <t>Hasfariyah</t>
  </si>
  <si>
    <t>Mohammad Riski</t>
  </si>
  <si>
    <t>05 Desember 2006</t>
  </si>
  <si>
    <t>Mangli, Rt 002/ Rw 001, , Kec.Pujer, Kab.Bondowoso</t>
  </si>
  <si>
    <t>Usman</t>
  </si>
  <si>
    <t>Siti Turmina</t>
  </si>
  <si>
    <t>Muhammad Bagir</t>
  </si>
  <si>
    <t>Jebung Kidul 001/001 Jebung Kidul Tlogosari Bondowoso Jawa Timur</t>
  </si>
  <si>
    <t>Munawwaroh</t>
  </si>
  <si>
    <t>Muhammad Ahsanus Sabil</t>
  </si>
  <si>
    <t>05 juli 2007</t>
  </si>
  <si>
    <t>mangli 016/003-pujer-bondowoso</t>
  </si>
  <si>
    <t>Muhammad Ferdiansah</t>
  </si>
  <si>
    <t>Abd. Syukur</t>
  </si>
  <si>
    <t>Juairiyah</t>
  </si>
  <si>
    <t>Muzayyanah</t>
  </si>
  <si>
    <t>Ripin</t>
  </si>
  <si>
    <t>Suparmi</t>
  </si>
  <si>
    <t xml:space="preserve">Moch. Aqil Mubarok </t>
  </si>
  <si>
    <t>Mangli Timur</t>
  </si>
  <si>
    <t>Abdul Manab</t>
  </si>
  <si>
    <t>Munipa</t>
  </si>
  <si>
    <t>Muhammad Abrori Ananta</t>
  </si>
  <si>
    <t>PEJAGAN</t>
  </si>
  <si>
    <t>Hendriyanto</t>
  </si>
  <si>
    <t>Sofin Handriyani</t>
  </si>
  <si>
    <t>Andre Maulana Nurul Yaqin</t>
  </si>
  <si>
    <t>05 Februari 2005</t>
  </si>
  <si>
    <t>Sufyan</t>
  </si>
  <si>
    <t>Azizah</t>
  </si>
  <si>
    <t>Umar Faruk</t>
  </si>
  <si>
    <t>8 September 2004</t>
  </si>
  <si>
    <t>Puryanto</t>
  </si>
  <si>
    <t>Hamida</t>
  </si>
  <si>
    <t>M. Chairus Sholeh</t>
  </si>
  <si>
    <t>27 April 2004</t>
  </si>
  <si>
    <t>Jebung Kidul, , , Kec. Tlogosari, Kab. Bondowoso</t>
  </si>
  <si>
    <t>Safiudin</t>
  </si>
  <si>
    <t>Iswantini</t>
  </si>
  <si>
    <t>Lutfiyanto</t>
  </si>
  <si>
    <t>01 Januari 2006</t>
  </si>
  <si>
    <t>Dusun Krajan 010/003 Pejagan Jambesari Darus Sholah Bondowoso</t>
  </si>
  <si>
    <t>M. Heri</t>
  </si>
  <si>
    <t>Saedeh</t>
  </si>
  <si>
    <t>Zainul Ahsan</t>
  </si>
  <si>
    <t>12 September 2005</t>
  </si>
  <si>
    <t>Pakisan</t>
  </si>
  <si>
    <t>Kamsus</t>
  </si>
  <si>
    <t>Tiswatun Hasanah</t>
  </si>
  <si>
    <t>Muhammad Imam Assauqoni</t>
  </si>
  <si>
    <t>23 September 2003</t>
  </si>
  <si>
    <t>Jebung Kidul, Rt 013/Rw 003, , Kec. Tlogosari, Kab. Bondowoso</t>
  </si>
  <si>
    <t>Juhrawi</t>
  </si>
  <si>
    <t>Agustin</t>
  </si>
  <si>
    <t>Mawardi</t>
  </si>
  <si>
    <t>Warda</t>
  </si>
  <si>
    <t>M. Hakiqatul Arifin</t>
  </si>
  <si>
    <t>17 Januari 2007</t>
  </si>
  <si>
    <t>Kalianyar-tamanan-bondowoso</t>
  </si>
  <si>
    <t>Holik</t>
  </si>
  <si>
    <t>Mubliha</t>
  </si>
  <si>
    <t>M.Suhruful Fikrul Holis</t>
  </si>
  <si>
    <t>23 Oktober 2006</t>
  </si>
  <si>
    <t>Tegal Mijin, Rt 007/Rw 002, , Kec. Grujugan, kab. Bondowoso</t>
  </si>
  <si>
    <t>Suhriyanto</t>
  </si>
  <si>
    <t>Kiptiyeh</t>
  </si>
  <si>
    <t>Ahmad Fitroh</t>
  </si>
  <si>
    <t>14 Oktober 2006</t>
  </si>
  <si>
    <t xml:space="preserve">Wonosuko, Rt 015/ Rw 003, Kec.Tamanan, Kab.Bondowoso, </t>
  </si>
  <si>
    <t>Ahmad Maklub</t>
  </si>
  <si>
    <t>Lailatu Qodriyah</t>
  </si>
  <si>
    <t>Imam Syafi'i</t>
  </si>
  <si>
    <t>28 Desember 2005</t>
  </si>
  <si>
    <t>Grujugan Lor</t>
  </si>
  <si>
    <t>Ahmad Faisal Abdul Ghani</t>
  </si>
  <si>
    <t>03 september 2006</t>
  </si>
  <si>
    <t>Kajar 01/01 Kajar -Tenggarang -Bondowoso</t>
  </si>
  <si>
    <t>Sudiyanto</t>
  </si>
  <si>
    <t>Mustiah</t>
  </si>
  <si>
    <t>Mohammad Kholil Tolha</t>
  </si>
  <si>
    <t>06 Juli 2006</t>
  </si>
  <si>
    <t>Lojajar 05/03 Tenggarang Bondowoso</t>
  </si>
  <si>
    <t>Damay Yanti</t>
  </si>
  <si>
    <t>Mohammad Sevi Fawaid</t>
  </si>
  <si>
    <t>Dusun Krajan 007/003 Kajar Tenggarang Bondowoso Jawa Timur</t>
  </si>
  <si>
    <t>Badriyah</t>
  </si>
  <si>
    <t>Tija</t>
  </si>
  <si>
    <t>15 Agustus 2005</t>
  </si>
  <si>
    <t>Krajan-tenggarang-bondowoso</t>
  </si>
  <si>
    <t>Sito Bin Sitab</t>
  </si>
  <si>
    <t>Sumarti</t>
  </si>
  <si>
    <t>Rowinda Alfanah Yoga</t>
  </si>
  <si>
    <t>11 November 2004</t>
  </si>
  <si>
    <t xml:space="preserve">Trotosari, Rt 008/ Rw 003, Kec. Tlogosari, Kab.Bondowoso, </t>
  </si>
  <si>
    <t>jasuli</t>
  </si>
  <si>
    <t>munifa</t>
  </si>
  <si>
    <t xml:space="preserve">Masrur </t>
  </si>
  <si>
    <t xml:space="preserve">Desa Kajar, Rt 004/ Rw 002, Kec.Tenggarang, Kab.Bondowoso, </t>
  </si>
  <si>
    <t>Miftahul Ulum</t>
  </si>
  <si>
    <t>Wonosuko-Tamanan-Bondowoso</t>
  </si>
  <si>
    <t>Fathorrosi</t>
  </si>
  <si>
    <t>Suhartatik</t>
  </si>
  <si>
    <t>Ahmad Faisol</t>
  </si>
  <si>
    <t>Ds Mengen Krajan Tamanan Bondowoso</t>
  </si>
  <si>
    <t>Muhlis</t>
  </si>
  <si>
    <t>Fawaid</t>
  </si>
  <si>
    <t>Muhammad Badrus Sholeh</t>
  </si>
  <si>
    <t>Tolak Adi</t>
  </si>
  <si>
    <t>Wakik</t>
  </si>
  <si>
    <t>Muhammad Nazil</t>
  </si>
  <si>
    <t>17 juli 2007</t>
  </si>
  <si>
    <t>Taman 62/007 Taman -Grujugan -Bondowoso</t>
  </si>
  <si>
    <t>Ridwan</t>
  </si>
  <si>
    <t>Bukor 001/001 Bukor Wringin Bondowoso</t>
  </si>
  <si>
    <t>Muzammil</t>
  </si>
  <si>
    <t>Rumsiya</t>
  </si>
  <si>
    <t>Muhammad Solahuddin Kamil</t>
  </si>
  <si>
    <t>Taman, Rt 59, Rw 7, Taman, Grujugan, Bondowoso</t>
  </si>
  <si>
    <t>Hud Zaini</t>
  </si>
  <si>
    <t>Sumiatun</t>
  </si>
  <si>
    <t>Farhan Abrori</t>
  </si>
  <si>
    <t>Krajan Barat-Sukowono-Jember</t>
  </si>
  <si>
    <t>Marham</t>
  </si>
  <si>
    <t>Rehan Hadi</t>
  </si>
  <si>
    <t>Surono Susanto</t>
  </si>
  <si>
    <t>Eka Purnamasari</t>
  </si>
  <si>
    <t>Aqmal Khoir</t>
  </si>
  <si>
    <t>25 Januari 2007</t>
  </si>
  <si>
    <t>Sukowono 11/01 Pujer-Bondowoso</t>
  </si>
  <si>
    <t>Asus</t>
  </si>
  <si>
    <t>Toyati</t>
  </si>
  <si>
    <t>Muhammad Ibnu Affan</t>
  </si>
  <si>
    <t>Ishak</t>
  </si>
  <si>
    <t>Muhammad Zidan Assayyidi</t>
  </si>
  <si>
    <t>25 November 2006</t>
  </si>
  <si>
    <t>Gunosari, Rt 011/Rw 002, , Kec.Tlogosari, Kab.Bondowoso</t>
  </si>
  <si>
    <t>Edi Haryanto</t>
  </si>
  <si>
    <t>Jamilatul Hasanah</t>
  </si>
  <si>
    <t>Hamli Roziqin</t>
  </si>
  <si>
    <t>Panduman-Jelbuk-Jember</t>
  </si>
  <si>
    <t>Abdul Wahab AS</t>
  </si>
  <si>
    <t>Muawanah</t>
  </si>
  <si>
    <t>Fikri Fahirullah</t>
  </si>
  <si>
    <t>Pekalangan 21/04 Tenggarang- Bondowoso</t>
  </si>
  <si>
    <t>Amir Wahudi</t>
  </si>
  <si>
    <t>M. Khoirul Umam</t>
  </si>
  <si>
    <t>02 Mei 2005</t>
  </si>
  <si>
    <t>Pekalangan-pengarang-jambesari ds-bondowos</t>
  </si>
  <si>
    <t>Hannan</t>
  </si>
  <si>
    <t>Muhammad Ridwan Amir</t>
  </si>
  <si>
    <t xml:space="preserve">Abd. Rahman </t>
  </si>
  <si>
    <t>Nasia</t>
  </si>
  <si>
    <t>Abdul Mauni</t>
  </si>
  <si>
    <t>Pakisan-Tlogosari-Bondowoso</t>
  </si>
  <si>
    <t>Mohyiddin</t>
  </si>
  <si>
    <t>Rosi</t>
  </si>
  <si>
    <t>Yanti Andriyani</t>
  </si>
  <si>
    <t>Sukron Makmun</t>
  </si>
  <si>
    <t>Pakisan-tlogosari-jember</t>
  </si>
  <si>
    <t>Ahmad Qusyairi</t>
  </si>
  <si>
    <t>Khoirun Nisa'u Zamah</t>
  </si>
  <si>
    <t xml:space="preserve">Faqih Ali </t>
  </si>
  <si>
    <t>09 September 2006</t>
  </si>
  <si>
    <t>Dusun Ajung Mangli, 004/001, , Kec.SumberJambe, Kab.Jember</t>
  </si>
  <si>
    <t>Buaris</t>
  </si>
  <si>
    <t>Azman</t>
  </si>
  <si>
    <t>20 April 2006</t>
  </si>
  <si>
    <t>sumber walin-tlogosari- bondowoso</t>
  </si>
  <si>
    <t>Abdul Jalal</t>
  </si>
  <si>
    <t>Muhammad Amin Hoironi</t>
  </si>
  <si>
    <t>24 Januari 2006</t>
  </si>
  <si>
    <t>SUMBERWALIN</t>
  </si>
  <si>
    <t>Khairus Shaleh</t>
  </si>
  <si>
    <t>Hosniyati</t>
  </si>
  <si>
    <t>Ahmad Gufron</t>
  </si>
  <si>
    <t>Potok-Brambang Darussalam-Tkogosari-Bondowoso</t>
  </si>
  <si>
    <t>Muhdar</t>
  </si>
  <si>
    <t>Imam Muddin</t>
  </si>
  <si>
    <t>27 Desember 2006</t>
  </si>
  <si>
    <t>Saiful Hadi</t>
  </si>
  <si>
    <t>Susiyanti</t>
  </si>
  <si>
    <t>Muhammad Sholahul Qalbi</t>
  </si>
  <si>
    <t>09 Agustus 2007</t>
  </si>
  <si>
    <t xml:space="preserve">Desa Sukokerto, Rt 009/Rw 003, Kec.Pujer, Kab.Bondowoso, </t>
  </si>
  <si>
    <t>M.Mulyono</t>
  </si>
  <si>
    <t>Nuril Hariroh</t>
  </si>
  <si>
    <t>M. Rofil Hikamul Ulum</t>
  </si>
  <si>
    <t>Sukokerto</t>
  </si>
  <si>
    <t>M. Rasudi</t>
  </si>
  <si>
    <t>Siti Rofikoh</t>
  </si>
  <si>
    <t>Ahmad Faizi</t>
  </si>
  <si>
    <t>26 Februari 2007</t>
  </si>
  <si>
    <t>Ajung Mangli, 006/001, Cumedak, Kec.SumberJambe, Kab.Jember</t>
  </si>
  <si>
    <t>Bahri</t>
  </si>
  <si>
    <t xml:space="preserve">Hamid </t>
  </si>
  <si>
    <t>01 Jan 2005</t>
  </si>
  <si>
    <t>Irmatul Kiptiyah</t>
  </si>
  <si>
    <t xml:space="preserve">Muhammad Jamilun </t>
  </si>
  <si>
    <t>Petung-Arjasa-Sukowono-Jember</t>
  </si>
  <si>
    <t>jupri haryadi</t>
  </si>
  <si>
    <t>komariyah</t>
  </si>
  <si>
    <t>Muhammad Arifin</t>
  </si>
  <si>
    <t>11 Oktober 2002</t>
  </si>
  <si>
    <t>Sifak</t>
  </si>
  <si>
    <t>14 Juli 2002</t>
  </si>
  <si>
    <t>Arjasa-sukowono-jember</t>
  </si>
  <si>
    <t>Pekalangan-Tenggarang-Bondowoso</t>
  </si>
  <si>
    <t>Muhammad Nurul Arifin</t>
  </si>
  <si>
    <t>17 Oktober 2006</t>
  </si>
  <si>
    <t xml:space="preserve">Desa Tlogosari, Rt 020/Rw 005, Kec.Tlogosari, Kab. Bondowoso, </t>
  </si>
  <si>
    <t>Ali Jufri</t>
  </si>
  <si>
    <t>Rahbia</t>
  </si>
  <si>
    <t>Zaki Abiyullah</t>
  </si>
  <si>
    <t>Tegal Mijin-Grujugan-Bondowoso</t>
  </si>
  <si>
    <t>Hadi Yanto</t>
  </si>
  <si>
    <t>Titin Haryani</t>
  </si>
  <si>
    <t>Samsul Arifin C</t>
  </si>
  <si>
    <t>25 April 2003</t>
  </si>
  <si>
    <t>Dasuki</t>
  </si>
  <si>
    <t>Sawani</t>
  </si>
  <si>
    <t xml:space="preserve">Achmad Salam </t>
  </si>
  <si>
    <t>Dsn. Sok Sok Dusun. Batokaben -/- Batokaban Konang Bangkalan Jawa Timur</t>
  </si>
  <si>
    <t>Rosidi</t>
  </si>
  <si>
    <t>10 November 2005</t>
  </si>
  <si>
    <t>Dusun Sumber Bubuh, Rt 002/Rw 016, Desa Sukosari, Kec. Sukowono, kab. Jember</t>
  </si>
  <si>
    <t>Rudi Bachtiar Maulana</t>
  </si>
  <si>
    <t>JEBUNG KIDUL 16/03 JEBUNG KIDUL TLOGOSARI BONDOWOSO</t>
  </si>
  <si>
    <t>21 juli 2007</t>
  </si>
  <si>
    <t>Maskuning Kulon 12/003 Maskuning Kulon -Pujer-Bondowoso</t>
  </si>
  <si>
    <t>Muhasin</t>
  </si>
  <si>
    <t>Maimuna</t>
  </si>
  <si>
    <t>Fahrus Salikin</t>
  </si>
  <si>
    <t>18 Juni 2006</t>
  </si>
  <si>
    <t>Ahmad Hasbullah</t>
  </si>
  <si>
    <t>Khozen Ainur Rifdi</t>
  </si>
  <si>
    <t>Sumberkolak-Panarukan-Situbondo</t>
  </si>
  <si>
    <t>Subairi</t>
  </si>
  <si>
    <t>Musrifa</t>
  </si>
  <si>
    <t>Sholihul Ibat</t>
  </si>
  <si>
    <t>16 April 2007</t>
  </si>
  <si>
    <t>tegal pasir-jambesari DS-bondowoso</t>
  </si>
  <si>
    <t>Erfan</t>
  </si>
  <si>
    <t>Muhammad Hibri Faqih</t>
  </si>
  <si>
    <t>Sukogidri Ledokombo Jember</t>
  </si>
  <si>
    <t>Basirullah</t>
  </si>
  <si>
    <t>Anisah</t>
  </si>
  <si>
    <t>Bahrullah</t>
  </si>
  <si>
    <t>M.Zainullah</t>
  </si>
  <si>
    <t>Siti Komariah</t>
  </si>
  <si>
    <t>Gadafin</t>
  </si>
  <si>
    <t>27 Agustus 2007</t>
  </si>
  <si>
    <t xml:space="preserve">Abd.Mukid </t>
  </si>
  <si>
    <t>Bahria</t>
  </si>
  <si>
    <t>Arju Irfan Maulana</t>
  </si>
  <si>
    <t>Abd. Halim</t>
  </si>
  <si>
    <t>Rumna Hidayati</t>
  </si>
  <si>
    <t>M. Alfin Rosyid</t>
  </si>
  <si>
    <t>Mochammad Nawawi</t>
  </si>
  <si>
    <t>Faiqatul Himmah</t>
  </si>
  <si>
    <t>Ali Wafi</t>
  </si>
  <si>
    <t>Randu Cangkring-Pujer-Bondowoso</t>
  </si>
  <si>
    <t xml:space="preserve">Yulianto </t>
  </si>
  <si>
    <t xml:space="preserve">Hairul Anam </t>
  </si>
  <si>
    <t>10 oktober 2006</t>
  </si>
  <si>
    <t>Patemon 018/004 Patemon-Tlogosari-Bondowoso</t>
  </si>
  <si>
    <t>Taufik Hidayat</t>
  </si>
  <si>
    <t>Muhammad Sobri</t>
  </si>
  <si>
    <t>Patemon-tlogosari-bondowoso</t>
  </si>
  <si>
    <t>Suradi</t>
  </si>
  <si>
    <t>Sudarmi</t>
  </si>
  <si>
    <t>M. Ramadhan Ariel Firmansyah</t>
  </si>
  <si>
    <t>01 Juli 2005</t>
  </si>
  <si>
    <t>Amir Mahmud</t>
  </si>
  <si>
    <t>Rukiyeh</t>
  </si>
  <si>
    <t>Mufti Hakim</t>
  </si>
  <si>
    <t>Sumenep</t>
  </si>
  <si>
    <t>Maskuning Wetan Pujer Bondowoso</t>
  </si>
  <si>
    <t>Tarmo</t>
  </si>
  <si>
    <t>Zeinah</t>
  </si>
  <si>
    <t>Mukhtar Nurul Amin</t>
  </si>
  <si>
    <t>Karang Tengah 035/006 Jambeanom-Jambesari DS-Bondowoso</t>
  </si>
  <si>
    <t>Slamet Sugiono</t>
  </si>
  <si>
    <t>Tunyati</t>
  </si>
  <si>
    <t>Fikri Mislahul Qur'ani</t>
  </si>
  <si>
    <t>01 Agustus 2007</t>
  </si>
  <si>
    <t>Dusun Krajan, 001/001, , Kec.Jambesari Darus Sholah, Kab.Bondowoso</t>
  </si>
  <si>
    <t>Muhammad Fajar Sodiq</t>
  </si>
  <si>
    <t>jalal</t>
  </si>
  <si>
    <t>ismawati</t>
  </si>
  <si>
    <t>Muhammad Hamzah Al Hari</t>
  </si>
  <si>
    <t>01 Agustus 2005</t>
  </si>
  <si>
    <t>Dusun Tol Tol, Rt 001/ Rw 011, Pringgondani, Kec.Sumber Jambe, Kab.Jember</t>
  </si>
  <si>
    <t>Samsul</t>
  </si>
  <si>
    <t>Supriyati</t>
  </si>
  <si>
    <t>Achmad Syamsi</t>
  </si>
  <si>
    <t>22 Juli 2003</t>
  </si>
  <si>
    <t>Dusun Bajur, Rt 010/ Rw 004, Kemirian, Kec.Tamanan, Kab.Bondowoso</t>
  </si>
  <si>
    <t>Subhan</t>
  </si>
  <si>
    <t>Sunarsih</t>
  </si>
  <si>
    <t>Muhammad Maulana Akbar</t>
  </si>
  <si>
    <t>Nur Hasin</t>
  </si>
  <si>
    <t>Tomyani</t>
  </si>
  <si>
    <t>Dusun Karang Tengah 011/003 Pengarang Jambesari Darus Sholah Bondowoso</t>
  </si>
  <si>
    <t>Miskali</t>
  </si>
  <si>
    <t>Muhammad Firmansyah</t>
  </si>
  <si>
    <t>Dusun Paceh 011/004 Pejagan Jambesari Darus Sholah Bondowoso</t>
  </si>
  <si>
    <t>Hoddin</t>
  </si>
  <si>
    <t>Horniyati</t>
  </si>
  <si>
    <t>Mahrus Ali</t>
  </si>
  <si>
    <t>11 Oktober 2005</t>
  </si>
  <si>
    <t>Yuli Wahyudi</t>
  </si>
  <si>
    <t>Komariyah</t>
  </si>
  <si>
    <t>Baikuni Fahmi</t>
  </si>
  <si>
    <t>20 Februari 2003</t>
  </si>
  <si>
    <t xml:space="preserve">Sulek, Rt 002/Rw 001, Kec.Tlogosari, Kab.Bondowoso, </t>
  </si>
  <si>
    <t>HOLIH</t>
  </si>
  <si>
    <t>YUYUN</t>
  </si>
  <si>
    <t>Muhammad Bobi</t>
  </si>
  <si>
    <t>10 Oktober 2007</t>
  </si>
  <si>
    <t>Randu Cangkring 07/01 Pujer-Bondowoso</t>
  </si>
  <si>
    <t>Muhammad Iqbal Irfansyah</t>
  </si>
  <si>
    <t>22 November 2006</t>
  </si>
  <si>
    <t xml:space="preserve">Desa Sulek, Rt 001/Rw 001, Kec.Tlogosari, Kab. Bondowoso, </t>
  </si>
  <si>
    <t>Sumarno</t>
  </si>
  <si>
    <t>Muhammad Zainuri</t>
  </si>
  <si>
    <t>Arjasa-Sukowono-Jembe</t>
  </si>
  <si>
    <t>Hamidi Fauzi</t>
  </si>
  <si>
    <t>Errum</t>
  </si>
  <si>
    <t>Imam Safi'i</t>
  </si>
  <si>
    <t>Laili</t>
  </si>
  <si>
    <t>Muhammad Kafilurrozaq</t>
  </si>
  <si>
    <t>20 Agustus 2007</t>
  </si>
  <si>
    <t>Mengok, Rt 007/Rw 002, , Kec. Pujer, Kab. Bondowoso</t>
  </si>
  <si>
    <t>Supriya</t>
  </si>
  <si>
    <t>Rizal Arisandi</t>
  </si>
  <si>
    <t>20 Desember 2004</t>
  </si>
  <si>
    <t>Dusun Kebun Karang, Rt 022/ Rw 004, Pucang Anom, Kec.Jambesari Darus Sholah, Kab.Bondowoso</t>
  </si>
  <si>
    <t>Muhammad Slamet</t>
  </si>
  <si>
    <t>Saenap</t>
  </si>
  <si>
    <t>Ahmad Zuhri</t>
  </si>
  <si>
    <t>Mengok Pujer Bondowoso</t>
  </si>
  <si>
    <t>Watiningsih</t>
  </si>
  <si>
    <t>Ahmadil Fata</t>
  </si>
  <si>
    <t>Mengok</t>
  </si>
  <si>
    <t xml:space="preserve">Dewi Samsul Laimi </t>
  </si>
  <si>
    <t>Lukmanul Hakim</t>
  </si>
  <si>
    <t>23 September 2006</t>
  </si>
  <si>
    <t>Desa Mengok, Rt 027/Rw 008, , Kec.Pujer, Bondowoso</t>
  </si>
  <si>
    <t>As'at</t>
  </si>
  <si>
    <t>Juswati</t>
  </si>
  <si>
    <t>Muhammad Lukmanul Hakim</t>
  </si>
  <si>
    <t>25 Juni 2005</t>
  </si>
  <si>
    <t>Dusun Singal, Rt 020/ Rw 004, Wonosuko, Kec.Tamanan, Kab.Bondowoso</t>
  </si>
  <si>
    <t>Zainap</t>
  </si>
  <si>
    <t>Achmad Ilyas Putra Wardhana</t>
  </si>
  <si>
    <t>Sumberkemuning-Tamanan-Bondowoso</t>
  </si>
  <si>
    <t>Machfidz Ali Murtadlo</t>
  </si>
  <si>
    <t>Juma'ati</t>
  </si>
  <si>
    <t>M. Zaenol</t>
  </si>
  <si>
    <t>Sukowono 01/01 Pujer Bondowoso</t>
  </si>
  <si>
    <t>Abd. Halik</t>
  </si>
  <si>
    <t>Hasanah</t>
  </si>
  <si>
    <t>Ahmad Zekki Mustofa</t>
  </si>
  <si>
    <t>Jatian, Rt 031/RW 010, Desa Tapen, Kec. Tapen, Kab. Bondowoso</t>
  </si>
  <si>
    <t>Tauhed</t>
  </si>
  <si>
    <t>Masturah</t>
  </si>
  <si>
    <t>Muhammad Rifki Ananda Ainil Quby</t>
  </si>
  <si>
    <t>Saifur/Adnan</t>
  </si>
  <si>
    <t>Nurainiyatun</t>
  </si>
  <si>
    <t>Moch Dimas Rurah</t>
  </si>
  <si>
    <t>Rugak</t>
  </si>
  <si>
    <t>Mohammad Romadani</t>
  </si>
  <si>
    <t>Dusun Silowongo 023/003 Kemirian Tamanan Bondowoso</t>
  </si>
  <si>
    <t>Sakmina</t>
  </si>
  <si>
    <t>Romi Rahmatullah</t>
  </si>
  <si>
    <t>Krajan 004/001 Kalianyar Tamanan Bondowoso</t>
  </si>
  <si>
    <t>Miftahus Surur</t>
  </si>
  <si>
    <t>27 Desember 2005</t>
  </si>
  <si>
    <t>Patemon, Rt 026/Rw 005, , Kec.Tlogosari, Kab.Bondowoso</t>
  </si>
  <si>
    <t>Muhalli</t>
  </si>
  <si>
    <t>Saadah</t>
  </si>
  <si>
    <t>Ahmad Gunawan</t>
  </si>
  <si>
    <t>27 Juli 2007</t>
  </si>
  <si>
    <t>Karang Paiton</t>
  </si>
  <si>
    <t>Anwar</t>
  </si>
  <si>
    <t>Ainul fikri</t>
  </si>
  <si>
    <t>08 Januari 2006</t>
  </si>
  <si>
    <t>Desa Kesemek, Rt 014/Rw 007, , Kec .Tenggarang, Kab. Bondowoso</t>
  </si>
  <si>
    <t>asmuni</t>
  </si>
  <si>
    <t>fitruyah</t>
  </si>
  <si>
    <t>Hafidah</t>
  </si>
  <si>
    <t>Adil Suharyadi</t>
  </si>
  <si>
    <t>10 OKTOBER 2007</t>
  </si>
  <si>
    <t>DUSUN PASAR LODOKOMBO 01/13 LEDOKOMBO JEMBER</t>
  </si>
  <si>
    <t>Kurniawan</t>
  </si>
  <si>
    <t>Moch. Feri</t>
  </si>
  <si>
    <t>Dusun Patemon 017/005 Randu Agung Sumberjambe Jember</t>
  </si>
  <si>
    <t>Aziz</t>
  </si>
  <si>
    <t>Mardiyah</t>
  </si>
  <si>
    <t>M. Farhan Maulana</t>
  </si>
  <si>
    <t>Randuagung-Sumberjambe-jember</t>
  </si>
  <si>
    <t>Nur Halim</t>
  </si>
  <si>
    <t>Ahmad Agung Ramadani</t>
  </si>
  <si>
    <t>14 November 2004</t>
  </si>
  <si>
    <t>Dusun Andongsari, Rt 001/ Rw 010, Desa Tugosari, Kec. Bangsalsari, Kab.Jember</t>
  </si>
  <si>
    <t>BAIDAWI</t>
  </si>
  <si>
    <t>MUNAWWAROH</t>
  </si>
  <si>
    <t>M. Bagus Setiawan</t>
  </si>
  <si>
    <t>Sukorejo Pakisan-Tlogosari-Bondowoso</t>
  </si>
  <si>
    <t>Ach. Sirojuddin</t>
  </si>
  <si>
    <t>Siti Nurholisah</t>
  </si>
  <si>
    <t>Lilik Hasanah</t>
  </si>
  <si>
    <t>Zaini</t>
  </si>
  <si>
    <t>Fadilah Widad</t>
  </si>
  <si>
    <t>30 Desember 2005</t>
  </si>
  <si>
    <t>Emhadi</t>
  </si>
  <si>
    <t>Dewi Siti Aisah</t>
  </si>
  <si>
    <t>Wildanis Syifa ZA.</t>
  </si>
  <si>
    <t>05 Juni 2006</t>
  </si>
  <si>
    <t>Budianto</t>
  </si>
  <si>
    <t>Sasmiwati</t>
  </si>
  <si>
    <t>Salman Alfarezi</t>
  </si>
  <si>
    <t>Dusun Patemon, 001/017, Sumber Tengah, Kec. Sukosari, Kab. Jember</t>
  </si>
  <si>
    <t>Arjoso Alm</t>
  </si>
  <si>
    <t>Ahmad Rofiki</t>
  </si>
  <si>
    <t>Angsnah, , , Jambesari DS, Bondowoso</t>
  </si>
  <si>
    <t>Moh.Fadil</t>
  </si>
  <si>
    <t>15 februari 2007</t>
  </si>
  <si>
    <t>ds.karang malang 010/002-tegal pasir-jambesari Darus sholah -Bondowoso</t>
  </si>
  <si>
    <t>Satini</t>
  </si>
  <si>
    <t>Aidil Fitri</t>
  </si>
  <si>
    <t>Kidul Sawah Barat, Rt 32, Rw 7, Tamanan, Tamanan, Bondowoso</t>
  </si>
  <si>
    <t xml:space="preserve">Mumpa'i </t>
  </si>
  <si>
    <t>Tola'atun</t>
  </si>
  <si>
    <t>Mohammad Miftahul Babil Yasar</t>
  </si>
  <si>
    <t>Sumber walin Pakisan -tlogosari -Bondowoso</t>
  </si>
  <si>
    <t>Bunadin</t>
  </si>
  <si>
    <t>Susilowsti</t>
  </si>
  <si>
    <t>Nabil Ainur Ridho</t>
  </si>
  <si>
    <t>Beddian-Jambesari DS-Bondowoso</t>
  </si>
  <si>
    <t>Ahmad Muzakki</t>
  </si>
  <si>
    <t>Lilis Zuhriyah</t>
  </si>
  <si>
    <t>Muhammad Romadani</t>
  </si>
  <si>
    <t>Buyono</t>
  </si>
  <si>
    <t>Siti Rosida</t>
  </si>
  <si>
    <t>Zaiful Rizal</t>
  </si>
  <si>
    <t>Mursidi</t>
  </si>
  <si>
    <t>Hakikotul Wahdani</t>
  </si>
  <si>
    <t>Wonosari, Rt 6, Rw 2, Wonosari, Grujugan, Bondowoso</t>
  </si>
  <si>
    <t>Turiyatul Jana</t>
  </si>
  <si>
    <t>Ahmad Baisuddin</t>
  </si>
  <si>
    <t>11 Oktober 2007</t>
  </si>
  <si>
    <t>Taman 18/04 sukosari tamanan bondowoso</t>
  </si>
  <si>
    <t>Jemsia</t>
  </si>
  <si>
    <t>Fathus Surur</t>
  </si>
  <si>
    <t>Beddian-Jambesari-Jambesari DS-Bondowoso</t>
  </si>
  <si>
    <t>Kiptiyah</t>
  </si>
  <si>
    <t>Abdur Rahman</t>
  </si>
  <si>
    <t>Ahmad Nurur Romadani</t>
  </si>
  <si>
    <t>19 Oktober 2005</t>
  </si>
  <si>
    <t>Desa Jebung Kidul, Rt 010/Rw 002, , Kec.Pujer, Kab.Bondowoso</t>
  </si>
  <si>
    <t>Suryati</t>
  </si>
  <si>
    <t>Muhammad Andika Apriyansyah</t>
  </si>
  <si>
    <t>Pucang Anom-Jambesari Darus Sholah-Bondowoso</t>
  </si>
  <si>
    <t>Heryadi</t>
  </si>
  <si>
    <t>Hosen</t>
  </si>
  <si>
    <t>16 November 2003</t>
  </si>
  <si>
    <t>Pekalangan, 016/003, , Kec.Tenggarang, Kab.Bondowoso</t>
  </si>
  <si>
    <t>Atik</t>
  </si>
  <si>
    <t>M. Ghufron Mukhtarullah</t>
  </si>
  <si>
    <t>Marsudi</t>
  </si>
  <si>
    <t>Suminah</t>
  </si>
  <si>
    <t>Muhammad Fathul Irfan</t>
  </si>
  <si>
    <t>25 Juli 2004</t>
  </si>
  <si>
    <t>Jebung Kidul, Rt 013/Rw 003, , Kec.Tlogosari, Kab. Bondowoso</t>
  </si>
  <si>
    <t>Abd. Hadi</t>
  </si>
  <si>
    <t>Sri Wahyuni</t>
  </si>
  <si>
    <t>Zaenur Rofik</t>
  </si>
  <si>
    <t>22 Juli 2005</t>
  </si>
  <si>
    <t>Patemon, Rt 019/Rw 004, , Kec.Tlogosari, Kab.Bondowoso</t>
  </si>
  <si>
    <t>Sumarjo</t>
  </si>
  <si>
    <t>Asyati</t>
  </si>
  <si>
    <t>Abdul Wakil</t>
  </si>
  <si>
    <t>24 Juni 2006</t>
  </si>
  <si>
    <t>Desa Sukodono Rt 010/Rw 004 Kec. Pujer Kab. Bondowoso</t>
  </si>
  <si>
    <t>Hatib</t>
  </si>
  <si>
    <t xml:space="preserve">Sunartik </t>
  </si>
  <si>
    <t>14 Mei 2003</t>
  </si>
  <si>
    <t>Dusun Sbr. Walen Rt.018/Rw.004 Desa Pakisan Kec. Tlogosari Kab. Bondowoso</t>
  </si>
  <si>
    <t>Ach. Fauzi Afandi</t>
  </si>
  <si>
    <t>28 April 2006</t>
  </si>
  <si>
    <t>Desa Mengok Rt.013/Rw.003 Kec. Pujer Bondowoso</t>
  </si>
  <si>
    <t>Sahlan</t>
  </si>
  <si>
    <t>Adriyan Rosadi</t>
  </si>
  <si>
    <t>07 Juli 2004</t>
  </si>
  <si>
    <t>Dusun Pelalangan Rt 011/Rw 005 Desa Sukokert  Kec. Pujer Kab. Bondowoso</t>
  </si>
  <si>
    <t>Ahmad Fauzi Baadillah</t>
  </si>
  <si>
    <t>08 januari 2006</t>
  </si>
  <si>
    <t>Dusun Kalianyar Tengah Rt 009 /Rw 002 Kec. Tamanan Kab. Bondowoso</t>
  </si>
  <si>
    <t>Sayuti</t>
  </si>
  <si>
    <t>Ahmad Kuzeyri</t>
  </si>
  <si>
    <t>13 Maret 2005</t>
  </si>
  <si>
    <t>Desa Sukodono Pujer Bondowoso</t>
  </si>
  <si>
    <t>M. Holip</t>
  </si>
  <si>
    <t>Fadilah</t>
  </si>
  <si>
    <t>Erfan Sabilil Muttaqin</t>
  </si>
  <si>
    <t>10 September 2006</t>
  </si>
  <si>
    <t>Desa Sukodono Rt.010 / Rw. 004 Pujer Bondowoso</t>
  </si>
  <si>
    <t>Santoso</t>
  </si>
  <si>
    <t>Saoda</t>
  </si>
  <si>
    <t>Fadilurrohman</t>
  </si>
  <si>
    <t>03 Mei 2005</t>
  </si>
  <si>
    <t>Dusun Angsanah Rt 034/ Rw 007 Jambesari Jambesari Darus Sholah Bondowoso</t>
  </si>
  <si>
    <t>Fajar Nurdiansyah</t>
  </si>
  <si>
    <t>16 Januari 2005</t>
  </si>
  <si>
    <t>Desa Sumber Pandan Rt 010/Rw 004 Kec. grujugan Kab. bondowoso</t>
  </si>
  <si>
    <t>Cholil Asy'ari</t>
  </si>
  <si>
    <t>Luthfiyah</t>
  </si>
  <si>
    <t xml:space="preserve">Dusun Karang Tengah Rt 013/Rw 003 Desa Pengarang Kec. Jambesari DS Kab. Bondowoso </t>
  </si>
  <si>
    <t>Ferdiyansah</t>
  </si>
  <si>
    <t>06 Juli 2004</t>
  </si>
  <si>
    <t>Dusun Sumber Tengah Rt 020/Rw 006 Desa Pocangan Kec. Sukowono Kab. Jember</t>
  </si>
  <si>
    <t>Saheri</t>
  </si>
  <si>
    <t>Ifan Afandi</t>
  </si>
  <si>
    <t>07 Januari 2004</t>
  </si>
  <si>
    <t>Tlogosari Rt 016/Rw 004 Kec.Tlogosari Kab.Bondowoso</t>
  </si>
  <si>
    <t>Rustiye</t>
  </si>
  <si>
    <t>Ilham Indra Maulana</t>
  </si>
  <si>
    <t>07 Mei 2003</t>
  </si>
  <si>
    <t>Dusun Krajan RT. 030 Rw. 006 Jambeanom Jambesari DS Bondowoso</t>
  </si>
  <si>
    <t>Abusiri</t>
  </si>
  <si>
    <t>Iqbalul Faizin</t>
  </si>
  <si>
    <t>16 Agustus 2002</t>
  </si>
  <si>
    <t>Desa Tlogosari Rt 014/Rw 004 Kec. Tlogosari Kab. Bondowoso</t>
  </si>
  <si>
    <t>Moh.Sholeh</t>
  </si>
  <si>
    <t>Irfan Sianturi</t>
  </si>
  <si>
    <t>21 April 2004</t>
  </si>
  <si>
    <t>Desa Sukodono Rt 001/Rw 001 Kec. Pujer Kab. Bondowoso</t>
  </si>
  <si>
    <t>Khoirul Qodavil Umam</t>
  </si>
  <si>
    <t>02 Februari 2007</t>
  </si>
  <si>
    <t>Dusun Mengok Rt. 013/Rw. 004 Desa Mengok Kec. Pujer Kab. Bondowoso</t>
  </si>
  <si>
    <t>Sudahri</t>
  </si>
  <si>
    <t>Lailul Hidayat</t>
  </si>
  <si>
    <t>23 April 2003</t>
  </si>
  <si>
    <t>Dusun Kebun Karang Rt 036/Rw 011 Pucang Anom Kec. Jambesari DS  Kab. Bondowoso</t>
  </si>
  <si>
    <t>M. Faris Maulana Hasan</t>
  </si>
  <si>
    <t>23 Oktober 2003</t>
  </si>
  <si>
    <t>Desa Mengok Rt 027/Rw 004 Kec. Pujer Kab. Bondowoso</t>
  </si>
  <si>
    <t>Moh. Hasan</t>
  </si>
  <si>
    <t>Sukrimah</t>
  </si>
  <si>
    <t>M. Ikrom Maulana Sholihin</t>
  </si>
  <si>
    <t>02 Juni 2006</t>
  </si>
  <si>
    <t>Desa Mengok Rt.013 /Rw. 004 Kec.Pujer Bondowoso</t>
  </si>
  <si>
    <t>Maryani</t>
  </si>
  <si>
    <t>Mahroji</t>
  </si>
  <si>
    <t>16 September 2001</t>
  </si>
  <si>
    <t>Tegal Mijin Grujugan Bondowoso</t>
  </si>
  <si>
    <t>Holipatun</t>
  </si>
  <si>
    <t>Mochammad Makful Ghani</t>
  </si>
  <si>
    <t>05 April 2005</t>
  </si>
  <si>
    <t>Desa trotosari Rt 012/Rw 007 Kec. Tlogosari Kab. Bondowoso</t>
  </si>
  <si>
    <t>Sutriyani</t>
  </si>
  <si>
    <t>Moh Rifqi</t>
  </si>
  <si>
    <t>03 Juni 2004</t>
  </si>
  <si>
    <t>Dusun kebun karang Rt 017/Rw 004 Desa pucang Anom Kec. Jambesari DS Kab. Bondowoso</t>
  </si>
  <si>
    <t>Moh. Lutfi</t>
  </si>
  <si>
    <t>24 Maret 2003</t>
  </si>
  <si>
    <t>Dusun Siwan Lor Rt 003/Rw 002 Desa Panduman Kec. Jelbuk Kab. Jember</t>
  </si>
  <si>
    <t>Sukron</t>
  </si>
  <si>
    <t>Mohammad Arifin B</t>
  </si>
  <si>
    <t>13 Januari 2002</t>
  </si>
  <si>
    <t>Dusun Krajan Rt. 008 Rw. 001 Desa Pejagan Kec Jambesari D.S Kab.Bondowoso</t>
  </si>
  <si>
    <t xml:space="preserve">Abdus Salam </t>
  </si>
  <si>
    <t>Mohammad Belal</t>
  </si>
  <si>
    <t>16 Januari 2007</t>
  </si>
  <si>
    <t>Desa Brambang Darus Salam Rt 011/Rw 005 Kec Tlogosari Kab. Bondowoso</t>
  </si>
  <si>
    <t>Muammar Kadafi</t>
  </si>
  <si>
    <t>31 Oktober 2003</t>
  </si>
  <si>
    <t>Dusun Angsanah, Rt; 036/Rw; 007 Jambesari kec. Jambesari DS, Kab. Bondowoso</t>
  </si>
  <si>
    <t>Nima</t>
  </si>
  <si>
    <t xml:space="preserve">Muhammad Aldi Sulaiman </t>
  </si>
  <si>
    <t>17  Juni 2005</t>
  </si>
  <si>
    <t>Dusun karang Timur Rt 017/ Rw 004 Desa Sumber Kemuning Kec. Tamanan Kab. Bondowoso</t>
  </si>
  <si>
    <t>Esik Saidi</t>
  </si>
  <si>
    <t>Hossaimah</t>
  </si>
  <si>
    <t>Muhammad Aqil</t>
  </si>
  <si>
    <t>05 Agustus 2002</t>
  </si>
  <si>
    <t>Desa trotosari Rt 009/Rw.-  Kec. Tlogosari Kab. Bondowoso</t>
  </si>
  <si>
    <t>Muhammad Arifandi</t>
  </si>
  <si>
    <t>19 Februari 2004</t>
  </si>
  <si>
    <t>Desa Bacangan Rt 010/Rw 003 Kec. Taman Krocok Kab. Bondowoso</t>
  </si>
  <si>
    <t>HAFILI</t>
  </si>
  <si>
    <t>YATI OKTAVIA</t>
  </si>
  <si>
    <t xml:space="preserve">Muhammad Fajri Afandi </t>
  </si>
  <si>
    <t>Patemon Rt 018/Rw 004 Patemon Kec. Tlogosari Kab. Bondowoso</t>
  </si>
  <si>
    <t>Muhammad Fikri Yasid</t>
  </si>
  <si>
    <t>22 Februari 2006</t>
  </si>
  <si>
    <t>Desa kembang Rt 029/Rw 004 Kec. Tlogosari Kab. Bondowoso</t>
  </si>
  <si>
    <t>Ru'yati</t>
  </si>
  <si>
    <t>Muhammad Hasan</t>
  </si>
  <si>
    <t>27 Mei 2005</t>
  </si>
  <si>
    <t>DesaTegal Mijin Rt 008/Rw 002 Kec. Grujugan Kab. Bondowoso</t>
  </si>
  <si>
    <t>Harijo</t>
  </si>
  <si>
    <t>Sitti Rohami</t>
  </si>
  <si>
    <t xml:space="preserve">Muhammad Ifan </t>
  </si>
  <si>
    <t>25 September 2005</t>
  </si>
  <si>
    <t>Desa Tegal Mijin Rt 009/Rw 002 kec. Grujugan Kab. Bondowoso</t>
  </si>
  <si>
    <t>Nijas</t>
  </si>
  <si>
    <t>Esay</t>
  </si>
  <si>
    <t>Muhammad Miftahul Rizal</t>
  </si>
  <si>
    <t>28 Agustus 2007</t>
  </si>
  <si>
    <t>Hafada</t>
  </si>
  <si>
    <t>Muhammad Nur Hasan</t>
  </si>
  <si>
    <t>28 Desember 2003</t>
  </si>
  <si>
    <t>Desa Grujugan Kidul Rt 020/Rw 001 Kec. Grujugan Kab. Bondowoso</t>
  </si>
  <si>
    <t>Nimar</t>
  </si>
  <si>
    <t>Muhammad Nuriyan</t>
  </si>
  <si>
    <t>04 September 2004</t>
  </si>
  <si>
    <t>Dsn. Sukerejo Rt 010/Rw 003  Desa pakisan Kec tlogosari Kab. Bondowoso</t>
  </si>
  <si>
    <t>Sawiri</t>
  </si>
  <si>
    <t>Nur Hayatin</t>
  </si>
  <si>
    <t>Muhammad Vian Ali</t>
  </si>
  <si>
    <t>28 september 2007</t>
  </si>
  <si>
    <t>Sukdono Pujer Bondowoso</t>
  </si>
  <si>
    <t>Moh Toha</t>
  </si>
  <si>
    <t xml:space="preserve">Uswatun Hasanah </t>
  </si>
  <si>
    <t>02 Desember 2005</t>
  </si>
  <si>
    <t>Dusun beddian Rt 031/Rw 007 Desa  jambesari Kec. Jambesari DS Kab. Bondowoso</t>
  </si>
  <si>
    <t>Djumayas</t>
  </si>
  <si>
    <t>Mulyani</t>
  </si>
  <si>
    <t>Muhammad Zaenuri</t>
  </si>
  <si>
    <t>14 Agustus 2005</t>
  </si>
  <si>
    <t>Desa Sukowono Rt 017/Rw 002 Kec. Pujer Kab. Bondowoso</t>
  </si>
  <si>
    <t>Muhammadil Jawad</t>
  </si>
  <si>
    <t>28 Desember 2000</t>
  </si>
  <si>
    <t>Blok Pesantren  Rt. 018 Rw.007 Sbr Kalong Wonosari Bondowoso</t>
  </si>
  <si>
    <t>Ridofi</t>
  </si>
  <si>
    <t>13 Juli 2002</t>
  </si>
  <si>
    <t>Dusun Sumber Tengah ,Rt; 020/Rw; 004,Desa; Sumber Anom,Kec; Tamanan,Kab; bondowoso</t>
  </si>
  <si>
    <t>Moh. Hosnan</t>
  </si>
  <si>
    <t>Sri Heni Astutik</t>
  </si>
  <si>
    <t>Rifki Amrullah</t>
  </si>
  <si>
    <t>Desa Kesemek Rt 014/Rw 007 Kec. Tenggarang Kab. Bondowoso</t>
  </si>
  <si>
    <t>Mistawi</t>
  </si>
  <si>
    <t>Faridah</t>
  </si>
  <si>
    <t>Umaidi</t>
  </si>
  <si>
    <t>05 Agustus 2005</t>
  </si>
  <si>
    <t>Desa Maskuning Kulon Rt  017/Rw 004 Kec. Pujer Kab. Bondowoso</t>
  </si>
  <si>
    <t>Ariyono</t>
  </si>
  <si>
    <t>Wildan Mukhalladun</t>
  </si>
  <si>
    <t>Dusun Beddian Rt. 030/Rw.006 Desa Jambesari Kec. Jambesari Darus Sholah Bondowoso</t>
  </si>
  <si>
    <t>Sutresno</t>
  </si>
  <si>
    <t>Muhammad Zuhri</t>
  </si>
  <si>
    <t>Wonosari grujugan Bondowoso</t>
  </si>
  <si>
    <t>Saiful</t>
  </si>
  <si>
    <t>Zaenal Abidin</t>
  </si>
  <si>
    <t>Tlogosari-Tlogosari-Bondwoso</t>
  </si>
  <si>
    <t>Mahik</t>
  </si>
  <si>
    <t>Raudah</t>
  </si>
  <si>
    <t>Muhammad Alfan Zainul Hasan</t>
  </si>
  <si>
    <t>21 September2007</t>
  </si>
  <si>
    <t>Gabugan 010/002 Jambesari-Jambesari Darus Sholah-Bondowoso</t>
  </si>
  <si>
    <t>Yudi Halil</t>
  </si>
  <si>
    <t>Farhan Mubarok</t>
  </si>
  <si>
    <t>05 Januari 2005</t>
  </si>
  <si>
    <t>Sulek, 003/002, , Kec. Tlogosari, Kab. Bondowoso</t>
  </si>
  <si>
    <t>Soari</t>
  </si>
  <si>
    <t>Siti Fatima</t>
  </si>
  <si>
    <t>M. Ciptadi</t>
  </si>
  <si>
    <t xml:space="preserve">Ahmad Syaifi Hamdani </t>
  </si>
  <si>
    <t>KALIANYAR</t>
  </si>
  <si>
    <t>M. Adi</t>
  </si>
  <si>
    <t>Maisara</t>
  </si>
  <si>
    <t>Ahmad Wafid</t>
  </si>
  <si>
    <t>03 Maret 2003</t>
  </si>
  <si>
    <t>Krik</t>
  </si>
  <si>
    <t>Saada</t>
  </si>
  <si>
    <t>Mohammad Sulaiman</t>
  </si>
  <si>
    <t xml:space="preserve">Tegal Jati Sumberwringin bondowoso, , , , </t>
  </si>
  <si>
    <t>Moch. Aqil Ali Febrian</t>
  </si>
  <si>
    <t>22 FEBRUARI 2007</t>
  </si>
  <si>
    <t>Jebung Kidul 003/- -Jebung Kidul Tlogosari -Bondowoso</t>
  </si>
  <si>
    <t>Afifil Hak</t>
  </si>
  <si>
    <t>Nailul Khoir</t>
  </si>
  <si>
    <t>ulya</t>
  </si>
  <si>
    <t>Lembaga</t>
  </si>
  <si>
    <t>Kelas</t>
  </si>
  <si>
    <t>Pulang</t>
  </si>
  <si>
    <t>Kembali</t>
  </si>
  <si>
    <t>No</t>
  </si>
  <si>
    <t>DATA PULANGAN SANTRI PEMILU</t>
  </si>
  <si>
    <t>KTP</t>
  </si>
  <si>
    <t xml:space="preserve">          Yang bertandatangan di bawah ini, pengurus Pondok Pesantren Salafiyah Al-Utsmani Beddian bagian Keamanan dan Ketertiban memberikan ijin kepada:</t>
  </si>
  <si>
    <t>Wali</t>
  </si>
  <si>
    <t>Alamat</t>
  </si>
  <si>
    <t>Untuk pulang dan berlibur di rumahnya selama bulan Ramadhan tahun 1445 H. / 2024 M :</t>
  </si>
  <si>
    <t>Dari</t>
  </si>
  <si>
    <t>Sampai</t>
  </si>
  <si>
    <t>Paling akhir jam 05.00 Istiwa' harus sudah berada di pesantren.</t>
  </si>
  <si>
    <t>Demikian Surat ijin ini diberikan, untuk digunakan sebagaimana mestinya.</t>
  </si>
  <si>
    <t>Wakil Keamanan &amp; Ketertiban</t>
  </si>
  <si>
    <t>STAI [ES.2]</t>
  </si>
  <si>
    <t>KH. Ahmad Faqih Subhan</t>
  </si>
  <si>
    <t>1.</t>
  </si>
  <si>
    <t>2.</t>
  </si>
  <si>
    <t>Sesudah kembali ke PPS. Al-Utsmani, surat ini wajib diserahkan pada Kepala Daerah.</t>
  </si>
  <si>
    <t>3.</t>
  </si>
  <si>
    <t>Terlambat dari ketentuan jam kembali, harus diantar oleh wali untuk memper-tanggungjawabkan pada Kepala Daerah.</t>
  </si>
  <si>
    <t>4.</t>
  </si>
  <si>
    <t>Senin - 23 Jumadil Ula 1446 H. - 24 November 2024 M.</t>
  </si>
  <si>
    <t>Kamis - 26 Jumadil Ula 1446 H. - 28 November 2024 M.</t>
  </si>
  <si>
    <t>Beddian, 22 Jumadil Ula 1446</t>
  </si>
  <si>
    <t>Semua santri harus menjaga nama baik PPS. Al-Utsmani dan muru'ah sebagai seorang santri.</t>
  </si>
  <si>
    <t>Dilarang mencaci maki salah satu atau semua paslon</t>
  </si>
  <si>
    <t>Surat Ijin Pemilu</t>
  </si>
  <si>
    <t>No.</t>
  </si>
  <si>
    <t>NAMA</t>
  </si>
  <si>
    <t>DAERAH</t>
  </si>
  <si>
    <t>KELAS</t>
  </si>
  <si>
    <t>ASRAMA</t>
  </si>
  <si>
    <t>TEMPAT TANGGAL LAHIR</t>
  </si>
  <si>
    <t>ALAMAT</t>
  </si>
  <si>
    <t>AYAH</t>
  </si>
  <si>
    <t>IBU</t>
  </si>
  <si>
    <t>Rt / Rw</t>
  </si>
  <si>
    <t>KETERANGAN</t>
  </si>
  <si>
    <t>3 Ulya</t>
  </si>
  <si>
    <t>A01</t>
  </si>
  <si>
    <t>Pecalongan, Sukosari, Bondowoso</t>
  </si>
  <si>
    <t>Rezafilah Aprilia</t>
  </si>
  <si>
    <t>2 Ulya</t>
  </si>
  <si>
    <t>Bondowoso,27 April 2006</t>
  </si>
  <si>
    <t>Sukokerto,Pujer,Bondowoso</t>
  </si>
  <si>
    <t>2 Ulya E</t>
  </si>
  <si>
    <t>Dinda Rohmania</t>
  </si>
  <si>
    <t>Bondowoso,21 Agustus 2006</t>
  </si>
  <si>
    <t>Patemon,Pujer,Bondowoso</t>
  </si>
  <si>
    <t>Abdul Muqit</t>
  </si>
  <si>
    <t>Maisaroh</t>
  </si>
  <si>
    <t>Mengok,Pujer,Bondowoso</t>
  </si>
  <si>
    <t>Tohariyanto</t>
  </si>
  <si>
    <t>Sukodono,Pujer,Bondowoso</t>
  </si>
  <si>
    <t>Wulandari</t>
  </si>
  <si>
    <t>1 Ulya</t>
  </si>
  <si>
    <t>Bondowoso,08 September 2006</t>
  </si>
  <si>
    <t>Tlogosari,Tlogosari,Bondowoso</t>
  </si>
  <si>
    <t>Suniati</t>
  </si>
  <si>
    <t>Nadifatul Mawaddah</t>
  </si>
  <si>
    <t>1 ulya</t>
  </si>
  <si>
    <t>Bondowoso,16 Agustus 2005</t>
  </si>
  <si>
    <t>Adi Supriyadi</t>
  </si>
  <si>
    <t>Mawaddah</t>
  </si>
  <si>
    <t>3 Wustha</t>
  </si>
  <si>
    <t>Belum Memiliki KTP</t>
  </si>
  <si>
    <t>3  Wustha</t>
  </si>
  <si>
    <t>Inayatus Sholihah</t>
  </si>
  <si>
    <t>Bondowoso,07 Desember 2005</t>
  </si>
  <si>
    <t>Legan, Sumber Wringin, Bondowoso</t>
  </si>
  <si>
    <t>Sugiono</t>
  </si>
  <si>
    <t>Sri Nur Hayati</t>
  </si>
  <si>
    <t>Irdatul Karimah</t>
  </si>
  <si>
    <t>2 wustha</t>
  </si>
  <si>
    <t>Bondowoso,12 Desember 2005</t>
  </si>
  <si>
    <t>Gunosari,Tlogosari Bondowoso</t>
  </si>
  <si>
    <t>Karto</t>
  </si>
  <si>
    <t>Rusmina</t>
  </si>
  <si>
    <t>1 wustha</t>
  </si>
  <si>
    <t>A02</t>
  </si>
  <si>
    <t>Syarifatul Wustonia</t>
  </si>
  <si>
    <t>Bondowoso,31 Mei 2007</t>
  </si>
  <si>
    <t>Nurul Azkiya</t>
  </si>
  <si>
    <t>Bondowoso,13 Mei 2007</t>
  </si>
  <si>
    <t>Pakisan,Tlogosari,Bondowoso</t>
  </si>
  <si>
    <t>Jebung Kidul,Tlogosari,Bondowoso</t>
  </si>
  <si>
    <t>Hisfa Lailatun Najwa</t>
  </si>
  <si>
    <t>Bondowoso,27 Agustus 2007</t>
  </si>
  <si>
    <t>Patemon,Tlogosari,Bondowoso</t>
  </si>
  <si>
    <t>Sitti Helmiatul Hasanah</t>
  </si>
  <si>
    <t>A03</t>
  </si>
  <si>
    <t>Bondowoso,18 November 2005</t>
  </si>
  <si>
    <t>Tegal Mijin,Grujugan,Bondowoso</t>
  </si>
  <si>
    <t>Islmail</t>
  </si>
  <si>
    <t>Suhriyah</t>
  </si>
  <si>
    <t>Bondowoso,15 Juni 2007</t>
  </si>
  <si>
    <t>Nafilatul Jannah</t>
  </si>
  <si>
    <t>Bondowoso,26 Maret 2007</t>
  </si>
  <si>
    <t>Mangli, Pujer,  Bondowoso</t>
  </si>
  <si>
    <t>Syafik</t>
  </si>
  <si>
    <t>Rusyati</t>
  </si>
  <si>
    <t>Nur Alini</t>
  </si>
  <si>
    <t>Bondowoso,24 November 2005</t>
  </si>
  <si>
    <t>halili</t>
  </si>
  <si>
    <t>Makrufah</t>
  </si>
  <si>
    <t>Gabugan,Jambesari,Bondowoso</t>
  </si>
  <si>
    <t>Faizatul Jannah</t>
  </si>
  <si>
    <t>Jember,12 Desember 2003</t>
  </si>
  <si>
    <t>Pringgondani,Sumber Jambe,Jember</t>
  </si>
  <si>
    <t>toye</t>
  </si>
  <si>
    <t>hasanah</t>
  </si>
  <si>
    <t>3 Ulya B</t>
  </si>
  <si>
    <t>A04</t>
  </si>
  <si>
    <t>Halimatus Sa'diyah</t>
  </si>
  <si>
    <t>Bondowoso,16 Juli 2005</t>
  </si>
  <si>
    <t>Gunosari,Tlogosari,Bondowoso</t>
  </si>
  <si>
    <t>Surijas</t>
  </si>
  <si>
    <t>Hasyati</t>
  </si>
  <si>
    <t>2 Ulya D</t>
  </si>
  <si>
    <t>Sukowono,Pujer,Bondowoso</t>
  </si>
  <si>
    <t>Kiki Barrotul Taqiya</t>
  </si>
  <si>
    <t>1 Ulya F</t>
  </si>
  <si>
    <t>Bondowoso,13 Agustus 2006</t>
  </si>
  <si>
    <t>Durasit</t>
  </si>
  <si>
    <t>1 Ulya D</t>
  </si>
  <si>
    <t>Nur Diana Kholida</t>
  </si>
  <si>
    <t>1 Ulya G</t>
  </si>
  <si>
    <t>Bondowoso,04 Juli 2006</t>
  </si>
  <si>
    <t>fathol bari</t>
  </si>
  <si>
    <t>Nur Hakimah</t>
  </si>
  <si>
    <t>3 Wustha E</t>
  </si>
  <si>
    <t>Maskuning,Pujer,Bondowoso</t>
  </si>
  <si>
    <t>Nabilatul Solehah</t>
  </si>
  <si>
    <t>2 wustha F</t>
  </si>
  <si>
    <t>Bondowoso,21 September 2007</t>
  </si>
  <si>
    <t>Arjono</t>
  </si>
  <si>
    <t>Siti Maimunah</t>
  </si>
  <si>
    <t>Nikmatul Maghfiroh</t>
  </si>
  <si>
    <t>A05</t>
  </si>
  <si>
    <t>Bondowoso,16 Agustus 2006</t>
  </si>
  <si>
    <t>Mangli,Pujer,Bondowowo</t>
  </si>
  <si>
    <t>Jurianto</t>
  </si>
  <si>
    <t>Niti</t>
  </si>
  <si>
    <t>2 Ulya F</t>
  </si>
  <si>
    <t>Bondowoso,27 Juni 2005</t>
  </si>
  <si>
    <t>Anwari</t>
  </si>
  <si>
    <t>Sitti Nur Kholisoh</t>
  </si>
  <si>
    <t>Bondowoso,19 Juli 2007</t>
  </si>
  <si>
    <t>Mangli.Pujer,Bondowoso</t>
  </si>
  <si>
    <t>A06</t>
  </si>
  <si>
    <t>Bondowoso,22 Juni 2004</t>
  </si>
  <si>
    <t>Mangli,Pujer,Bondowoso</t>
  </si>
  <si>
    <t>Tamsul</t>
  </si>
  <si>
    <t>Minatun</t>
  </si>
  <si>
    <t xml:space="preserve">3 Ulya C </t>
  </si>
  <si>
    <t>Ira Oktaviana</t>
  </si>
  <si>
    <t>Bondowoso,22 Oktober 2006</t>
  </si>
  <si>
    <t>Hani</t>
  </si>
  <si>
    <t>Amsiatun</t>
  </si>
  <si>
    <t>Buat di Pondok, belum keluar</t>
  </si>
  <si>
    <t>Arisa Riski Istifadah</t>
  </si>
  <si>
    <t>Bondowoso,04 April 2004</t>
  </si>
  <si>
    <t>Suyitno</t>
  </si>
  <si>
    <t>Yulimatus Sanaya</t>
  </si>
  <si>
    <t>2 Wustha</t>
  </si>
  <si>
    <t>Jember 04 Agustus 2002</t>
  </si>
  <si>
    <t>Sukogidrih, Sumber Jambe, Jember</t>
  </si>
  <si>
    <t>Jambearum, Sumber Jambe, Jember</t>
  </si>
  <si>
    <t>Nur Alisa</t>
  </si>
  <si>
    <t>Jember ,14 Juli 2006</t>
  </si>
  <si>
    <t>Sukri</t>
  </si>
  <si>
    <t>Suwati</t>
  </si>
  <si>
    <t>Tahfidz</t>
  </si>
  <si>
    <t>Randu cangkring,Pujer,bondowoso</t>
  </si>
  <si>
    <t>Fatimatus Zahro</t>
  </si>
  <si>
    <t>2 Wustha D</t>
  </si>
  <si>
    <t>Bondowoso,07 July 2007</t>
  </si>
  <si>
    <t>Fathor rozi wafa</t>
  </si>
  <si>
    <t>Binti Milhan</t>
  </si>
  <si>
    <t>N.Miatul Barokah</t>
  </si>
  <si>
    <t>Bondowoso,23 July 2004</t>
  </si>
  <si>
    <t>Gentong,Tlogosari,Bondowoso</t>
  </si>
  <si>
    <t>Nur aini</t>
  </si>
  <si>
    <t>1 Ulya E</t>
  </si>
  <si>
    <t>Ayu Safitri</t>
  </si>
  <si>
    <t>3 Ulya C</t>
  </si>
  <si>
    <t>Jember,06 Juli 2006</t>
  </si>
  <si>
    <t>Arjasa,Sukowono,Jember</t>
  </si>
  <si>
    <t>Rahosi</t>
  </si>
  <si>
    <t>Qona'ah</t>
  </si>
  <si>
    <t>B01</t>
  </si>
  <si>
    <t>Kalianyar, Tamanan, Bondowoso</t>
  </si>
  <si>
    <t>Niatin</t>
  </si>
  <si>
    <t>Bondowoso, 23 Februari 2004</t>
  </si>
  <si>
    <t>Patemon, Tlogosari, Bondowoso</t>
  </si>
  <si>
    <t>Riski</t>
  </si>
  <si>
    <t xml:space="preserve">Sunida </t>
  </si>
  <si>
    <t>Sukokerto, Pujer, Bondowoso</t>
  </si>
  <si>
    <t>Bondowoso, 16 Juli 2007</t>
  </si>
  <si>
    <t>Jambeanom, Jambesari, Bondowoso</t>
  </si>
  <si>
    <t>Wildatul Jannah</t>
  </si>
  <si>
    <t>Bondowoso, 19 Mei 2004</t>
  </si>
  <si>
    <t>Wonosuko, Tamanan, Bondowoso</t>
  </si>
  <si>
    <t xml:space="preserve">Rasid </t>
  </si>
  <si>
    <t>Jumaiya</t>
  </si>
  <si>
    <t>3 Wustha G</t>
  </si>
  <si>
    <t>Bondowoso, 25 Desember 2006</t>
  </si>
  <si>
    <t xml:space="preserve">Taufik </t>
  </si>
  <si>
    <t xml:space="preserve">Hatima </t>
  </si>
  <si>
    <t xml:space="preserve">Lutfiah </t>
  </si>
  <si>
    <t>Utviatul Hasanah</t>
  </si>
  <si>
    <t>B02</t>
  </si>
  <si>
    <t>Bondowoso, 04 Mei 2005</t>
  </si>
  <si>
    <t>Angsanah,Jambesari,Bondowoso</t>
  </si>
  <si>
    <t xml:space="preserve">Hasib </t>
  </si>
  <si>
    <t>Gentong, Taman Krocok, Bondowoso</t>
  </si>
  <si>
    <t>Siti Nabila</t>
  </si>
  <si>
    <t>Bondowoso, 10 Agustus 2006</t>
  </si>
  <si>
    <t>Tegal Mijin, Grujugan, Bondowoso</t>
  </si>
  <si>
    <t xml:space="preserve">muhamad mahfud </t>
  </si>
  <si>
    <t>Gabugan, Jambesari DS, Bondowoso</t>
  </si>
  <si>
    <t xml:space="preserve">Misrawi </t>
  </si>
  <si>
    <t>3 Wustha F</t>
  </si>
  <si>
    <t>Jambeanom, Jambesari DS, Bondowoso</t>
  </si>
  <si>
    <t>Sudah Buat, Belum Keluar</t>
  </si>
  <si>
    <t>Siti Nur Kholiso</t>
  </si>
  <si>
    <t>3 Wustha H</t>
  </si>
  <si>
    <t>Bondowoso, 19 April 2007</t>
  </si>
  <si>
    <t>Dawuhan, Grujugan, Bondowoso</t>
  </si>
  <si>
    <t xml:space="preserve">Karimullah </t>
  </si>
  <si>
    <t>Beddian, Jambesari DS, Bondowoso</t>
  </si>
  <si>
    <t xml:space="preserve">Subari </t>
  </si>
  <si>
    <t>Fitriatun Kamilah</t>
  </si>
  <si>
    <t>B03</t>
  </si>
  <si>
    <t>Bondowoso, 15 November 2002</t>
  </si>
  <si>
    <t>Maskuning Kulon, Pujer, Bondowoso</t>
  </si>
  <si>
    <t xml:space="preserve">Edi Susanto </t>
  </si>
  <si>
    <t xml:space="preserve">Nurul Hidayah </t>
  </si>
  <si>
    <t>Sukodono, Pujer, Bondowoso</t>
  </si>
  <si>
    <t xml:space="preserve">Hosniah </t>
  </si>
  <si>
    <t>Lailatul Fadilah</t>
  </si>
  <si>
    <t>3  Ulya C</t>
  </si>
  <si>
    <t>Bondowoso, 27 Mei 2006</t>
  </si>
  <si>
    <t xml:space="preserve">Abdul Wahid </t>
  </si>
  <si>
    <t xml:space="preserve">Anik Susilowati </t>
  </si>
  <si>
    <t>Safiratul Ummah</t>
  </si>
  <si>
    <t>B04</t>
  </si>
  <si>
    <t>Bondowoso, 11 Maret 2007</t>
  </si>
  <si>
    <t>Pengarang, Jambesari DS, Bondowoso</t>
  </si>
  <si>
    <t xml:space="preserve">Ali Wafa </t>
  </si>
  <si>
    <t xml:space="preserve">Sulastri </t>
  </si>
  <si>
    <t xml:space="preserve">Suhaini </t>
  </si>
  <si>
    <t>Siti Humairoh</t>
  </si>
  <si>
    <t>Jember, 03 Juni 2004</t>
  </si>
  <si>
    <t>Pringgondani, Sumber Jambe, Jember</t>
  </si>
  <si>
    <t xml:space="preserve">Zainullah </t>
  </si>
  <si>
    <t xml:space="preserve">siti Fatimah </t>
  </si>
  <si>
    <t>Jember, 11 Agustus 2007</t>
  </si>
  <si>
    <t>Hasilatul Murodah</t>
  </si>
  <si>
    <t xml:space="preserve">Karyadi </t>
  </si>
  <si>
    <t xml:space="preserve">Fatimah </t>
  </si>
  <si>
    <t>Bondowoso, 01 Januari 2005</t>
  </si>
  <si>
    <t>Himay Yatur Rofi'ah</t>
  </si>
  <si>
    <t>Bondowoso, 15 Maret 2003</t>
  </si>
  <si>
    <t>Tamanan, Tamanan, Bondowoso</t>
  </si>
  <si>
    <t xml:space="preserve">Muhajir </t>
  </si>
  <si>
    <t xml:space="preserve">Ernawati </t>
  </si>
  <si>
    <t>Faridatul Aulia</t>
  </si>
  <si>
    <t>Bondowoso, 16 Juni 2006</t>
  </si>
  <si>
    <t xml:space="preserve">Ekur </t>
  </si>
  <si>
    <t xml:space="preserve">Esum </t>
  </si>
  <si>
    <t>B05</t>
  </si>
  <si>
    <t>Selfi Diantari</t>
  </si>
  <si>
    <t>Bondowoso,13 Agustus 2007</t>
  </si>
  <si>
    <t>Pekauman, Grujugan, Bondowoso</t>
  </si>
  <si>
    <t>Liana Nurul Makrifah</t>
  </si>
  <si>
    <t>Jember, 06 Oktober 2007</t>
  </si>
  <si>
    <t>Sumber Pakem, Sukowono, Jember</t>
  </si>
  <si>
    <t>B06</t>
  </si>
  <si>
    <t>Anisah Malik</t>
  </si>
  <si>
    <t>Bondowoso, 16 Oktober 2007</t>
  </si>
  <si>
    <t xml:space="preserve">Buhari </t>
  </si>
  <si>
    <t xml:space="preserve">Helmiah </t>
  </si>
  <si>
    <t>Ahmad Syafi'i</t>
  </si>
  <si>
    <t>Lailiyatus Sholehah</t>
  </si>
  <si>
    <t>B07</t>
  </si>
  <si>
    <t>Bondowoso, 2 September 2005</t>
  </si>
  <si>
    <t xml:space="preserve">Tosan </t>
  </si>
  <si>
    <t>C</t>
  </si>
  <si>
    <t>C01</t>
  </si>
  <si>
    <t>Gentong, Tlogosari, Bondowoso</t>
  </si>
  <si>
    <t>Lisa Fidiyati</t>
  </si>
  <si>
    <t>Bondowoso, 26 Mei 2001</t>
  </si>
  <si>
    <t>Trotosari, Tlogosari, Bondowoso</t>
  </si>
  <si>
    <t>Jebung Kidul, Tlogosari, Bondowoso</t>
  </si>
  <si>
    <t>Anindita Diyah Ratna</t>
  </si>
  <si>
    <t>Bondowoso, 24 Februari 2006</t>
  </si>
  <si>
    <t>Kasemek, Tenggarang, Bondowoso</t>
  </si>
  <si>
    <t>Sulek, Tlogosari, Bondowoso</t>
  </si>
  <si>
    <t>Faratul Hasanah</t>
  </si>
  <si>
    <t>Bondowoso, 07 Mei 2007</t>
  </si>
  <si>
    <t>Firda</t>
  </si>
  <si>
    <t>Bondowoso, 18 November 2007</t>
  </si>
  <si>
    <t>Belum memiliki KTP</t>
  </si>
  <si>
    <t>C02</t>
  </si>
  <si>
    <t>Pejagan, Jambesari, Bondowoso</t>
  </si>
  <si>
    <t>Vivi Alifia Yahya</t>
  </si>
  <si>
    <t>Bondowoso, 26 Agustus 2007</t>
  </si>
  <si>
    <t>Fathor Rosi</t>
  </si>
  <si>
    <t>Sutriani</t>
  </si>
  <si>
    <t>Alifia Yusri Hasan</t>
  </si>
  <si>
    <t>Bondowoso, 25 September 2005</t>
  </si>
  <si>
    <t>Grujugan, Jambesari Ds, Bondowoso</t>
  </si>
  <si>
    <t>Abu Hasn</t>
  </si>
  <si>
    <t>Sitti Amala</t>
  </si>
  <si>
    <t>Sri Wulandari</t>
  </si>
  <si>
    <t>2 ulya E</t>
  </si>
  <si>
    <t>Bondowoso, 09 Juni 2007</t>
  </si>
  <si>
    <t>Beddian, Jambesari, Bondowoso</t>
  </si>
  <si>
    <t>Hamid</t>
  </si>
  <si>
    <t>Siti Rohila</t>
  </si>
  <si>
    <t>C03</t>
  </si>
  <si>
    <t>Bondowoso, 28 Maret 2007</t>
  </si>
  <si>
    <t>Pekalangan, Tenggarang, Bondowoso</t>
  </si>
  <si>
    <t>3 wustha</t>
  </si>
  <si>
    <t>Kamilatun Lutfiyah</t>
  </si>
  <si>
    <t>Bondowoso, 22 September 2006</t>
  </si>
  <si>
    <t>Fiizzatil Kamila</t>
  </si>
  <si>
    <t>Bondowoso, 08 Oktober 2007</t>
  </si>
  <si>
    <t>Riana Fitriatis Sholihah</t>
  </si>
  <si>
    <t>Bondowoso, 26 November 2003</t>
  </si>
  <si>
    <t>Randu Cangkring, Pujer, Bondowoso</t>
  </si>
  <si>
    <t>Bondowoso, 06 Juli 2006</t>
  </si>
  <si>
    <t>Kejayan, Pujer, Bondowoso</t>
  </si>
  <si>
    <t>Nurul Kamilah</t>
  </si>
  <si>
    <t>2 Ulta</t>
  </si>
  <si>
    <t>Jember, 09 Mei 2005</t>
  </si>
  <si>
    <t>Pringgondani,Sumber Jambe, Jember</t>
  </si>
  <si>
    <t>Nafiratul Maghfiroh</t>
  </si>
  <si>
    <t>Jember,  04   Agustustus 2007</t>
  </si>
  <si>
    <t>Randu Agung, Randu Agung, Jember</t>
  </si>
  <si>
    <t>Atikatul Khoironi</t>
  </si>
  <si>
    <t>C04</t>
  </si>
  <si>
    <t>Bondowoso, 17 Juli 2005</t>
  </si>
  <si>
    <t>Bondowoso, 31 Maret 2007</t>
  </si>
  <si>
    <t>Risqiyatul Hasanah</t>
  </si>
  <si>
    <t>Bondowoso, 25 Desember 2005</t>
  </si>
  <si>
    <t>Lombok Kulon, Wonosari, Bondowoso</t>
  </si>
  <si>
    <t>Siti Siska Muammanah</t>
  </si>
  <si>
    <t>Bondowoso, 14 Juli 2005</t>
  </si>
  <si>
    <t>Rohimah</t>
  </si>
  <si>
    <t>Bondowoso, 11 Februari 2004</t>
  </si>
  <si>
    <t>Dila Kurniatin</t>
  </si>
  <si>
    <t>Bondowoso, 08 Maret 2006</t>
  </si>
  <si>
    <t>Sumber Anyar, Jambesari, Bondowoso</t>
  </si>
  <si>
    <t>C05</t>
  </si>
  <si>
    <t>Diana Maghfiroh</t>
  </si>
  <si>
    <t>Bondowoso, 11 Januari 2006</t>
  </si>
  <si>
    <t xml:space="preserve">Sumber Salam, </t>
  </si>
  <si>
    <t>Amelia</t>
  </si>
  <si>
    <t xml:space="preserve">Bondowoso, </t>
  </si>
  <si>
    <t>C06</t>
  </si>
  <si>
    <t>Bondowoso, 06 April 2005</t>
  </si>
  <si>
    <t>Kajar, Tenggarang, Bondowoso</t>
  </si>
  <si>
    <t>Siti Kamila</t>
  </si>
  <si>
    <t>Bondowoso, 23 Desember 2006</t>
  </si>
  <si>
    <t>Zulaikha</t>
  </si>
  <si>
    <t>Sami</t>
  </si>
  <si>
    <t>Himmatul K</t>
  </si>
  <si>
    <t>Bondowoso, 13 Januari 2007</t>
  </si>
  <si>
    <t>Ahmad Junaidi</t>
  </si>
  <si>
    <t>Muniroh</t>
  </si>
  <si>
    <t>Bondowoso, 04 April 2007</t>
  </si>
  <si>
    <t>C07</t>
  </si>
  <si>
    <t>Kamiliatus Sholihah</t>
  </si>
  <si>
    <t>Bondowoso, 14 Desember 2005</t>
  </si>
  <si>
    <t>Shinta Kaunita Fillah</t>
  </si>
  <si>
    <t>Bondowoso, 21 Mei 2007</t>
  </si>
  <si>
    <t>D</t>
  </si>
  <si>
    <t>Gabugan, Jambesari Ds, Bondowoso</t>
  </si>
  <si>
    <t>Nur Faizah</t>
  </si>
  <si>
    <t>D02</t>
  </si>
  <si>
    <t>Jember, 20 April 2006</t>
  </si>
  <si>
    <t>Sukogidrih, Ledokombo, Jember</t>
  </si>
  <si>
    <t>Nanang Supriadi</t>
  </si>
  <si>
    <t xml:space="preserve">Samiati </t>
  </si>
  <si>
    <t>Sukosari, Sukowono, Jember</t>
  </si>
  <si>
    <t>Siti Kholilah</t>
  </si>
  <si>
    <t>Jember, 24 Januari 2004</t>
  </si>
  <si>
    <t>Kamilatul Amaliah</t>
  </si>
  <si>
    <t>D03</t>
  </si>
  <si>
    <t>Sumber Jeruk, Jambesari Ds, Bondowoso</t>
  </si>
  <si>
    <t>Kholiatul Jannah</t>
  </si>
  <si>
    <t>D04</t>
  </si>
  <si>
    <t>Bondowoso, 08 Agustus 2006</t>
  </si>
  <si>
    <t>Karang Malang, Jambesari Ds, Bondowoso</t>
  </si>
  <si>
    <t xml:space="preserve">Arsono </t>
  </si>
  <si>
    <t xml:space="preserve">Muflihah </t>
  </si>
  <si>
    <t xml:space="preserve">Holilah </t>
  </si>
  <si>
    <t>3 ulya B</t>
  </si>
  <si>
    <t>D05</t>
  </si>
  <si>
    <t>Ameliatus Sholihah</t>
  </si>
  <si>
    <t xml:space="preserve">1 Ulya </t>
  </si>
  <si>
    <t>Bondowoso, 12 Mei 2005</t>
  </si>
  <si>
    <t>Tegal Manik, Jambesari Ds, Bondowoso</t>
  </si>
  <si>
    <t xml:space="preserve">Andri </t>
  </si>
  <si>
    <t xml:space="preserve">Farida </t>
  </si>
  <si>
    <t xml:space="preserve">2 Ulya </t>
  </si>
  <si>
    <t>Hoyyimah</t>
  </si>
  <si>
    <t>D06</t>
  </si>
  <si>
    <t>Bondowoso, 23 Maret 2004</t>
  </si>
  <si>
    <t>D07</t>
  </si>
  <si>
    <t>Sukowono, Sukowono, Jember</t>
  </si>
  <si>
    <t>Khoirotul Ummah</t>
  </si>
  <si>
    <t>Bondowoso, 13 Juni 2006</t>
  </si>
  <si>
    <t xml:space="preserve">Abdi </t>
  </si>
  <si>
    <t xml:space="preserve">Rupa </t>
  </si>
  <si>
    <t>D08</t>
  </si>
  <si>
    <t>Aniatun Anizah</t>
  </si>
  <si>
    <t>Bondowoso, 25 Oktober 2005</t>
  </si>
  <si>
    <t>Gunosari, Tlogosari, Bondowoso</t>
  </si>
  <si>
    <t>D10</t>
  </si>
  <si>
    <t>Jambesari, Jambesari Ds, Bondowoso</t>
  </si>
  <si>
    <t>Novi Aulia</t>
  </si>
  <si>
    <t>Bondowoso, 23 Juli 2007</t>
  </si>
  <si>
    <t>Sukowono, Pujer, Bondowoso</t>
  </si>
  <si>
    <t>Baijuri</t>
  </si>
  <si>
    <t xml:space="preserve">Failah </t>
  </si>
  <si>
    <t>Bondowoso, 13 Juli 2007</t>
  </si>
  <si>
    <t>Tlogosari, Tlogosari, Bondowoso</t>
  </si>
  <si>
    <t>Hikmatul Mufidah</t>
  </si>
  <si>
    <t>D11</t>
  </si>
  <si>
    <t>Bondowoso, 10 Juli 2004</t>
  </si>
  <si>
    <t>Jebung Lor, Tlogosari, Bondowoso</t>
  </si>
  <si>
    <t>Putri awalia</t>
  </si>
  <si>
    <t>6 Ula d</t>
  </si>
  <si>
    <t>Marzuki</t>
  </si>
  <si>
    <t xml:space="preserve">Yani </t>
  </si>
  <si>
    <t>F</t>
  </si>
  <si>
    <t>F01</t>
  </si>
  <si>
    <t>Bondowoso, 13 Agustus 2005</t>
  </si>
  <si>
    <t>Sumber Walin, Tlogosari, Bondowoso</t>
  </si>
  <si>
    <t>Sujono</t>
  </si>
  <si>
    <t>Zainal Abidin</t>
  </si>
  <si>
    <t>Fina Akhlakul Karimah</t>
  </si>
  <si>
    <t>F02</t>
  </si>
  <si>
    <t>Bondowoso, 26 Desember 2005</t>
  </si>
  <si>
    <t>Sumber Jeruk, Jambesari, Bondowoso</t>
  </si>
  <si>
    <t>Muhammad Imam Ghazali</t>
  </si>
  <si>
    <t>Wasilah</t>
  </si>
  <si>
    <t>Selfia Agustin</t>
  </si>
  <si>
    <t>Bondowoso, 14 Agustus 2006</t>
  </si>
  <si>
    <t>Nur Hasim</t>
  </si>
  <si>
    <t>Kamilats Sa'diyah</t>
  </si>
  <si>
    <t xml:space="preserve">3 Wustho </t>
  </si>
  <si>
    <t>F03</t>
  </si>
  <si>
    <t>Bondowoso, 25 Maret 2007</t>
  </si>
  <si>
    <t>Nimanto</t>
  </si>
  <si>
    <t>Nur Arifah</t>
  </si>
  <si>
    <t>Bondowoso, 03 Juli 2007</t>
  </si>
  <si>
    <t xml:space="preserve">Sahri </t>
  </si>
  <si>
    <t xml:space="preserve">Kusnia </t>
  </si>
  <si>
    <t>Kemuning, Tamanan, Bondowoso</t>
  </si>
  <si>
    <t>Putri Ramadani</t>
  </si>
  <si>
    <t>F04</t>
  </si>
  <si>
    <t>Bondowoso, 28 September 2007</t>
  </si>
  <si>
    <t>Grujugan Lor, Jambesari Ds, Bondowoso</t>
  </si>
  <si>
    <t>Arwi</t>
  </si>
  <si>
    <t>Rohama</t>
  </si>
  <si>
    <t>Putri Ayu Fahromi</t>
  </si>
  <si>
    <t>Bondowoso, 24 November 2004</t>
  </si>
  <si>
    <t>Ummu Salamah</t>
  </si>
  <si>
    <t>F05</t>
  </si>
  <si>
    <t>Beddian, Jambesari Ds, Bondowoso</t>
  </si>
  <si>
    <t>Havidah</t>
  </si>
  <si>
    <t xml:space="preserve">1 Wustho G </t>
  </si>
  <si>
    <t>Bondowoso, 07 April 2007</t>
  </si>
  <si>
    <t>Muhammad Zainuddin</t>
  </si>
  <si>
    <t>Yani</t>
  </si>
  <si>
    <t>F06</t>
  </si>
  <si>
    <t>Mahilatus Surur</t>
  </si>
  <si>
    <t>2 Wustho G</t>
  </si>
  <si>
    <t>Bondowoso, 23 Mei 2006</t>
  </si>
  <si>
    <t>Ismatil Maulana</t>
  </si>
  <si>
    <t>Kejawan, Grujugan, Bondowoso</t>
  </si>
  <si>
    <t xml:space="preserve">Siad </t>
  </si>
  <si>
    <t>Nia Ramadhani</t>
  </si>
  <si>
    <t>Bondowoso, 26 Juni 2007</t>
  </si>
  <si>
    <t>Kalangan, Tenggarang, Bondowoso</t>
  </si>
  <si>
    <t>Siti Alizah</t>
  </si>
  <si>
    <t>3 ulya c</t>
  </si>
  <si>
    <t>F07</t>
  </si>
  <si>
    <t>Bondowoso, 12 April 2005</t>
  </si>
  <si>
    <t>Mangli, Pujer, Bondowoso</t>
  </si>
  <si>
    <t>Mattasa</t>
  </si>
  <si>
    <t>Beladul Hasanah</t>
  </si>
  <si>
    <t>Bondowoso, 11 Februari 2007</t>
  </si>
  <si>
    <t>Mengok, Pujer, Bondowoso</t>
  </si>
  <si>
    <t>Jumali</t>
  </si>
  <si>
    <t>Yulia Fitrih</t>
  </si>
  <si>
    <t>Bondowoso, 09 November 2007</t>
  </si>
  <si>
    <t>Rotibi</t>
  </si>
  <si>
    <t xml:space="preserve"> Siti Aisyah</t>
  </si>
  <si>
    <t>Bondowoso, 20 Nvember 2005</t>
  </si>
  <si>
    <t>Maskuning, Pujer, Bondowoso</t>
  </si>
  <si>
    <t>Miskandar</t>
  </si>
  <si>
    <t>Nufidatul Hasanah</t>
  </si>
  <si>
    <t>F08</t>
  </si>
  <si>
    <t>Bondowoso, 27 Februari 2005</t>
  </si>
  <si>
    <t>Damhuri</t>
  </si>
  <si>
    <t>Farini</t>
  </si>
  <si>
    <t xml:space="preserve"> Wildatis Shofiyah</t>
  </si>
  <si>
    <t>Bondowoso, 31 Januari 2007</t>
  </si>
  <si>
    <t>Asi Harifatul Afiyah</t>
  </si>
  <si>
    <t>Innaka Nilta Naura Salsabila</t>
  </si>
  <si>
    <t>Bondowoso, 28 Januari 2007</t>
  </si>
  <si>
    <t>Pengarang, Jambesari Ds, Bondowoso</t>
  </si>
  <si>
    <t>Ahmad Maghfur</t>
  </si>
  <si>
    <t>Laily Fatimah</t>
  </si>
  <si>
    <t>Siti Kamelia</t>
  </si>
  <si>
    <t>F09</t>
  </si>
  <si>
    <t>Bondowoso, 04 Januari 2007</t>
  </si>
  <si>
    <t>Nurul Jamilah</t>
  </si>
  <si>
    <t>Bondowoso, 23 Desember 2004</t>
  </si>
  <si>
    <t>Solehatus Zahro</t>
  </si>
  <si>
    <t>Jember, 04 November 2006</t>
  </si>
  <si>
    <t>Kalaka, Lumajang, Jember</t>
  </si>
  <si>
    <t>Kahviatut Toyyibah</t>
  </si>
  <si>
    <t>Bondowoso, 04 November 2006</t>
  </si>
  <si>
    <t>Solek, Tlogosari, Bondowoso</t>
  </si>
  <si>
    <t>Selly Lestari</t>
  </si>
  <si>
    <t>Bondowoso, 04 Mei 2004</t>
  </si>
  <si>
    <t>F10</t>
  </si>
  <si>
    <t>Bondowoso, 30 Desember 2004</t>
  </si>
  <si>
    <t>Saridin</t>
  </si>
  <si>
    <t>Hamidah</t>
  </si>
  <si>
    <t>Feni Sasmita</t>
  </si>
  <si>
    <t>Sasyono</t>
  </si>
  <si>
    <t>Kayyimah</t>
  </si>
  <si>
    <t xml:space="preserve"> Millati</t>
  </si>
  <si>
    <t>Bondowoso, 03 Juli 2006</t>
  </si>
  <si>
    <t>Yuliadi</t>
  </si>
  <si>
    <t>Marliya</t>
  </si>
  <si>
    <t xml:space="preserve"> Siti Hairani</t>
  </si>
  <si>
    <t>Mahrono</t>
  </si>
  <si>
    <t>Khodijah</t>
  </si>
  <si>
    <t>Siti Ningsih</t>
  </si>
  <si>
    <t>F11</t>
  </si>
  <si>
    <t>Bondowoso, 07 Maret 2004</t>
  </si>
  <si>
    <t>Kerang Plasa'an, Sukosari, Bondowoso</t>
  </si>
  <si>
    <t>Sumar</t>
  </si>
  <si>
    <t>Fera Nanda Aulia</t>
  </si>
  <si>
    <t>Isti,dadiyah</t>
  </si>
  <si>
    <t>Lombok Tengah, 25 September 2006</t>
  </si>
  <si>
    <t>Tanak Rarang, Peraya Barat, Lombok Tengah</t>
  </si>
  <si>
    <t>Anton</t>
  </si>
  <si>
    <t>Erni</t>
  </si>
  <si>
    <t>Devi Shinta Wati</t>
  </si>
  <si>
    <t>G</t>
  </si>
  <si>
    <t>G01</t>
  </si>
  <si>
    <t>Bondowoso, 11 Januari 2005</t>
  </si>
  <si>
    <t>Rofi'ah</t>
  </si>
  <si>
    <t>Bondowoso, 29 April 2004</t>
  </si>
  <si>
    <t>Diana Safilatul Qolbi</t>
  </si>
  <si>
    <t>Bondowoso, 20 April 2007</t>
  </si>
  <si>
    <t>Musrifatul Hasanah</t>
  </si>
  <si>
    <t>Jember, 21 Juli 2005</t>
  </si>
  <si>
    <t>Sumber Kalong, Kalisat, Jember</t>
  </si>
  <si>
    <t>Harrisah</t>
  </si>
  <si>
    <t>G02</t>
  </si>
  <si>
    <t>Jember, 18 Agustus 2001</t>
  </si>
  <si>
    <t>Plerean, sumber Jambe, Jember</t>
  </si>
  <si>
    <t>Lummatul Aisyah</t>
  </si>
  <si>
    <t>Jember, 11 Juli 2007</t>
  </si>
  <si>
    <t>Randu Agung, Sumber Jambe, Jember</t>
  </si>
  <si>
    <t>Putri Revana Ramadhani</t>
  </si>
  <si>
    <t>Bondowoso, 01 Oktober 2006</t>
  </si>
  <si>
    <t>Jember, 18 Juli 2007</t>
  </si>
  <si>
    <t>Ariny Nur fadilah</t>
  </si>
  <si>
    <t>G03</t>
  </si>
  <si>
    <t>Bondowoso, 02 Januari 2005</t>
  </si>
  <si>
    <t>Abu siri</t>
  </si>
  <si>
    <t>Bahriyati</t>
  </si>
  <si>
    <t>Nadifatul Ma'sunnah</t>
  </si>
  <si>
    <t>Bondowoso, 06 Oktober 2006</t>
  </si>
  <si>
    <t>Sumidin</t>
  </si>
  <si>
    <t>Sahama</t>
  </si>
  <si>
    <t>Naylatul warroh</t>
  </si>
  <si>
    <t>Mengen, Tamanan, Bondowoso</t>
  </si>
  <si>
    <t>Tumyana</t>
  </si>
  <si>
    <t>Selfin Nabila</t>
  </si>
  <si>
    <t>Bondowoso, 09 Juli 2005</t>
  </si>
  <si>
    <t>Naylatul Karimah</t>
  </si>
  <si>
    <t>3 wuths H</t>
  </si>
  <si>
    <t>Jember, 12 Oktober 2006</t>
  </si>
  <si>
    <t>Sholehan</t>
  </si>
  <si>
    <t>Sriwati</t>
  </si>
  <si>
    <t>Siti Ulfa</t>
  </si>
  <si>
    <t>3 wustha G</t>
  </si>
  <si>
    <t>Jember, 09 Juli 2006</t>
  </si>
  <si>
    <t>Slamin</t>
  </si>
  <si>
    <t>Satria</t>
  </si>
  <si>
    <t>G04</t>
  </si>
  <si>
    <t>Bondowoso, 08 Oktober 2002</t>
  </si>
  <si>
    <t>Kiswatun Hasanah</t>
  </si>
  <si>
    <t>Bondowoso, 05 Juli 2005</t>
  </si>
  <si>
    <t>Nur Azizah</t>
  </si>
  <si>
    <t>Bondowoso, 24  Juli 2006</t>
  </si>
  <si>
    <t>Ulfatul Hasanah</t>
  </si>
  <si>
    <t>Bondowoso, 27 Juli 2006</t>
  </si>
  <si>
    <t>Jambeanom, Jambesari Ds, Bondowoso</t>
  </si>
  <si>
    <t>Ninin Luflailatul Khoirot</t>
  </si>
  <si>
    <t>Maghfirotul Hasanah</t>
  </si>
  <si>
    <t>G05</t>
  </si>
  <si>
    <t>Jember, 15 Juni 2004</t>
  </si>
  <si>
    <t>Rembangan, Jelbuk, Jember</t>
  </si>
  <si>
    <t>Arin Salsabila</t>
  </si>
  <si>
    <t>Jember, 20 Agustus 2005</t>
  </si>
  <si>
    <t>Rizdayanti</t>
  </si>
  <si>
    <t>Jember, 14 November 2004</t>
  </si>
  <si>
    <t>Cumedak, Sumber Jambe, Jember</t>
  </si>
  <si>
    <t>Nila Soraya</t>
  </si>
  <si>
    <t>G06</t>
  </si>
  <si>
    <t>Jember, 05 Juli 2004</t>
  </si>
  <si>
    <t>Panduman, Jelbuk, Jember</t>
  </si>
  <si>
    <t>Karimah</t>
  </si>
  <si>
    <t>Bondowoso, 14 Februari 2007</t>
  </si>
  <si>
    <t>Nur Faiqotun Nikmah</t>
  </si>
  <si>
    <t>Bondowoso, 04 Desember 2006</t>
  </si>
  <si>
    <t>Kasemek, Tanggerang, Bondowoso</t>
  </si>
  <si>
    <t>Dianatul Hasanah</t>
  </si>
  <si>
    <t>G07</t>
  </si>
  <si>
    <t>Bondowoso, 28 Agustus 2003</t>
  </si>
  <si>
    <t>Umiyati</t>
  </si>
  <si>
    <t>Khoirun Nisa</t>
  </si>
  <si>
    <t>Bondowoso, 16 Agustus 2004</t>
  </si>
  <si>
    <t>Sumber Anom, Tamanan, Bondowoso</t>
  </si>
  <si>
    <t>Muhammad Munir</t>
  </si>
  <si>
    <t>Sundus</t>
  </si>
  <si>
    <t>2 Wustha H</t>
  </si>
  <si>
    <t>Bondowoso, 20 Agustus 2007</t>
  </si>
  <si>
    <t>Pasir, Jambesari, Bondowoso</t>
  </si>
  <si>
    <t>Muhammad Rasi</t>
  </si>
  <si>
    <t>Kuni Mukmillah</t>
  </si>
  <si>
    <t>G08</t>
  </si>
  <si>
    <t>Bondowoso, 11 Juli 2005</t>
  </si>
  <si>
    <t>Kamiliatul Hasanah</t>
  </si>
  <si>
    <t>G09</t>
  </si>
  <si>
    <t>Siti Rofiatun Hasanah</t>
  </si>
  <si>
    <t>Bondowoso, 08 Februari 2006</t>
  </si>
  <si>
    <t>Huzaimatul Aulia</t>
  </si>
  <si>
    <t>G10</t>
  </si>
  <si>
    <t>Bondowoso, 06 Maret 2004</t>
  </si>
  <si>
    <t>Umi Masturoh</t>
  </si>
  <si>
    <t>Bondowoso, 01 Juni 2005</t>
  </si>
  <si>
    <t>Tegal Miji, Grujugan, Bondowoso</t>
  </si>
  <si>
    <t>Laura Kholidia Indi Zaskia</t>
  </si>
  <si>
    <t>Bondowoso, 26 Oktober 2007</t>
  </si>
  <si>
    <t>Nur Azalina Sholeh</t>
  </si>
  <si>
    <t>Bondowoso, 12 November 2006</t>
  </si>
  <si>
    <t>Masruroh</t>
  </si>
  <si>
    <t>Bondowoso, 29 Januari 2007</t>
  </si>
  <si>
    <t>Elmiyatus Sa'diyah</t>
  </si>
  <si>
    <t>G11</t>
  </si>
  <si>
    <t>Bondowoso, 07 November 2004</t>
  </si>
  <si>
    <t>Jambeanom, Jambeasri Ds, Bondowoso</t>
  </si>
  <si>
    <t>As,ad</t>
  </si>
  <si>
    <t>Khoirur Rohmah Alufiyah</t>
  </si>
  <si>
    <t>Bondowoso, 05 Juni 2004</t>
  </si>
  <si>
    <t>Jebung Kidul, Tlogosari Bondowoso</t>
  </si>
  <si>
    <t>Abdul Hannan</t>
  </si>
  <si>
    <t xml:space="preserve">Faridatul Hasanah </t>
  </si>
  <si>
    <t>Aisyatul Jannah</t>
  </si>
  <si>
    <t>2 Wustho E</t>
  </si>
  <si>
    <t>Bondowoso, 17 Maret 2007</t>
  </si>
  <si>
    <t xml:space="preserve">Ahmad Kasim </t>
  </si>
  <si>
    <t xml:space="preserve">1 Ulya F </t>
  </si>
  <si>
    <t xml:space="preserve">Ahmad Junaidi </t>
  </si>
  <si>
    <t xml:space="preserve">Hosidah </t>
  </si>
  <si>
    <t>Siti Nur Afiani</t>
  </si>
  <si>
    <t>Bondowoso, 06 Agustus 2007</t>
  </si>
  <si>
    <t xml:space="preserve">Suhairi </t>
  </si>
  <si>
    <t xml:space="preserve">Suhaitini </t>
  </si>
  <si>
    <t>Siti Fatimah</t>
  </si>
  <si>
    <t>G12</t>
  </si>
  <si>
    <t>Frisca Debby Agestia</t>
  </si>
  <si>
    <t>Bondowoso, 08 Juni 2007</t>
  </si>
  <si>
    <t>Wildatul Muawwanah</t>
  </si>
  <si>
    <t>Bondowoso, 03 Maret 2006</t>
  </si>
  <si>
    <t>Isnaini</t>
  </si>
  <si>
    <t>Bondowoso, 09 November 2005</t>
  </si>
  <si>
    <t>Amiliatus Zahro</t>
  </si>
  <si>
    <t>G13</t>
  </si>
  <si>
    <t>Bondowoso, 24 April 2004</t>
  </si>
  <si>
    <t>Siti Jamila</t>
  </si>
  <si>
    <t>Sitti Nafisatul Muharromah</t>
  </si>
  <si>
    <t>H</t>
  </si>
  <si>
    <t>H01</t>
  </si>
  <si>
    <t>Bondowoso, 01 Feburari 2006</t>
  </si>
  <si>
    <t>Sitti Qomariyah</t>
  </si>
  <si>
    <t>Bondowoso, 27 Januri 2005</t>
  </si>
  <si>
    <t>Lutfiyah</t>
  </si>
  <si>
    <t>Firdaus</t>
  </si>
  <si>
    <t>Bondowoso, 18 September 2006</t>
  </si>
  <si>
    <t>Uswatun hasanah</t>
  </si>
  <si>
    <t>Bondowoso, 20 juni 2007</t>
  </si>
  <si>
    <t>Linda</t>
  </si>
  <si>
    <t>Bondowoso, 14 oktober 2005</t>
  </si>
  <si>
    <t>Jambearum, Tamanan, Bondowoso</t>
  </si>
  <si>
    <t>Luluk Mukarromah</t>
  </si>
  <si>
    <t>H02</t>
  </si>
  <si>
    <t>Bondowoso,24 Januari 2007</t>
  </si>
  <si>
    <t>Wildatul Fauziah</t>
  </si>
  <si>
    <t>Bondowoso,24 Juni 2006</t>
  </si>
  <si>
    <t>Laili Sukriyah</t>
  </si>
  <si>
    <t>Bondowoso,08 November 2006</t>
  </si>
  <si>
    <t>Sitti Kurniawati</t>
  </si>
  <si>
    <t>Bondowoso,14 January 2006</t>
  </si>
  <si>
    <t>Grujugan,Grujugan,Bondowoso</t>
  </si>
  <si>
    <t>Sitti Kholifah</t>
  </si>
  <si>
    <t>Bondowoso,25 Agustus 2006</t>
  </si>
  <si>
    <t>Zulfiatul Hasanah</t>
  </si>
  <si>
    <t>H03</t>
  </si>
  <si>
    <t>Bondowoso,06 Juni 2006</t>
  </si>
  <si>
    <t>Faiqotul Himmah</t>
  </si>
  <si>
    <t>Bondowoso,19 September 2007</t>
  </si>
  <si>
    <t>Finatul Munawwaroh</t>
  </si>
  <si>
    <t>Bondowoso,27 September 2007</t>
  </si>
  <si>
    <t>Naylazhatul Himmah</t>
  </si>
  <si>
    <t>Bondowoso,14 Oktober 2007</t>
  </si>
  <si>
    <t>Gentong Batu,Tlogosari,Bondowoso</t>
  </si>
  <si>
    <t>Nur Laela</t>
  </si>
  <si>
    <t>Bondowoso,07 April 2004</t>
  </si>
  <si>
    <t>Sumber kemuning ,Tamanan,Bondowoso</t>
  </si>
  <si>
    <t>Sisika Ayu Wulandari</t>
  </si>
  <si>
    <t>Bondowoso,25 February 2005</t>
  </si>
  <si>
    <t>Pekalongan Cermih, Tenggarang, Bondowoso</t>
  </si>
  <si>
    <t>H04</t>
  </si>
  <si>
    <t>Bondowoso,19 Maret 2006</t>
  </si>
  <si>
    <t>Dewi Masyitoh</t>
  </si>
  <si>
    <t>Beddian,Jambesari DS,Bondowoso</t>
  </si>
  <si>
    <t>Ghaniah</t>
  </si>
  <si>
    <t>Bondowoso,09 Mei 2007</t>
  </si>
  <si>
    <t>Brambang, Tlogosari Bondowoso</t>
  </si>
  <si>
    <t>Bondowoso,08 January 2006</t>
  </si>
  <si>
    <t>Beddian,Jambesari,Bondowoso</t>
  </si>
  <si>
    <t>Nadia Putri Nabela</t>
  </si>
  <si>
    <t>H05</t>
  </si>
  <si>
    <t>Bondowoso,08 February 2006</t>
  </si>
  <si>
    <t>Jati Ko'ong,Pujer,Bondowoso</t>
  </si>
  <si>
    <t>Widia Putri Nabela</t>
  </si>
  <si>
    <t>Riris Juhairiyah</t>
  </si>
  <si>
    <t>bondowoso,29 desember 2006</t>
  </si>
  <si>
    <t>Pengarang Jambesari,bondowoso</t>
  </si>
  <si>
    <t>Julia Rofiatul Hermania</t>
  </si>
  <si>
    <t>Bondowoso,09 July 2006</t>
  </si>
  <si>
    <t>Sukobiung, Tlogosari, Bondowoso</t>
  </si>
  <si>
    <t>Nafila</t>
  </si>
  <si>
    <t>Bondowoso,02 July 2006</t>
  </si>
  <si>
    <t>Aisyah</t>
  </si>
  <si>
    <t>Bondowoso,17 Mei 2004</t>
  </si>
  <si>
    <t>Zalwatul Aisyah</t>
  </si>
  <si>
    <t>Bondowoso,16 September 2006</t>
  </si>
  <si>
    <t>Rohilatul Aulia</t>
  </si>
  <si>
    <t>H06</t>
  </si>
  <si>
    <t>Bondowoso,12 November 2003</t>
  </si>
  <si>
    <t>Sitti Nur Fadilah</t>
  </si>
  <si>
    <t>Bondowoso,02 November 2006</t>
  </si>
  <si>
    <t>Sitti Maysaroh</t>
  </si>
  <si>
    <t>Bondowoso,05 Oktober 2006</t>
  </si>
  <si>
    <t>Dewi Kumala Sari</t>
  </si>
  <si>
    <t>H07</t>
  </si>
  <si>
    <t>Bondowoso,25 September 2005</t>
  </si>
  <si>
    <t>Lombok wetan, Wonosari, Bondowoso</t>
  </si>
  <si>
    <t>faza Asiska</t>
  </si>
  <si>
    <t>Bondowoso,25 November 2006</t>
  </si>
  <si>
    <t>Patemon Timur,Tlogosari,Bondowoso</t>
  </si>
  <si>
    <t>Warisatul Hasanah</t>
  </si>
  <si>
    <t>Bondowoso,02 Juni 2007</t>
  </si>
  <si>
    <t>Sulek,Tlogosari,Bondowoso</t>
  </si>
  <si>
    <t>Sitti Saniah</t>
  </si>
  <si>
    <t>Bondowoso,12 Maret 2006</t>
  </si>
  <si>
    <t>Sulek,Tlogosari,Bondowso</t>
  </si>
  <si>
    <t>Nur Kholilah</t>
  </si>
  <si>
    <t>H08</t>
  </si>
  <si>
    <t>Syafiqotus solihah</t>
  </si>
  <si>
    <t>Bondowoso,10 Maret 2006</t>
  </si>
  <si>
    <t>Lia Babul Jannah</t>
  </si>
  <si>
    <t>H09</t>
  </si>
  <si>
    <t>Bondowoso,30 Maret 2007</t>
  </si>
  <si>
    <t>Bondowoso,26 April 2006</t>
  </si>
  <si>
    <t>Layyinatul Khuluqi</t>
  </si>
  <si>
    <t>LPBA</t>
  </si>
  <si>
    <t>B. Inggris A</t>
  </si>
  <si>
    <t>Bondowoso, 13 Juli 2005</t>
  </si>
  <si>
    <t>Maufit</t>
  </si>
  <si>
    <t>Putri Eka Farida</t>
  </si>
  <si>
    <t>3 Waustha H</t>
  </si>
  <si>
    <t>Bondowoso, 19 Agustus 2007</t>
  </si>
  <si>
    <t>Pecalongan, Tlogosari, Bondowoso</t>
  </si>
  <si>
    <t>Abdul Basit</t>
  </si>
  <si>
    <t>Nadila Ramadhani</t>
  </si>
  <si>
    <t>Bondowoso, 128 Juni 2004</t>
  </si>
  <si>
    <t>Pejagan, Jambeari, Bondowoso</t>
  </si>
  <si>
    <t>Maghfiroh</t>
  </si>
  <si>
    <t>B. Inggris B</t>
  </si>
  <si>
    <t>Bondowoso, 29 January 2003</t>
  </si>
  <si>
    <t>Grujugan Lor, Grujugan, Bondowoso</t>
  </si>
  <si>
    <t>Muhammad Khoiri</t>
  </si>
  <si>
    <t>Mahtufatul Mukarromah</t>
  </si>
  <si>
    <t>Jember, 21 Desember 2002</t>
  </si>
  <si>
    <t>Hoirun Nisa'</t>
  </si>
  <si>
    <t>Bondowoso, 01 February 2004</t>
  </si>
  <si>
    <t>Grujugan Kidul, Grujugan, Bondowoso</t>
  </si>
  <si>
    <t>Mistari</t>
  </si>
  <si>
    <t>Zeelfia Balqis Alkahfi</t>
  </si>
  <si>
    <t>Surabaya, 28 February 2007</t>
  </si>
  <si>
    <t>Kedung Taruhan, Tambahsari, Surabaya</t>
  </si>
  <si>
    <t>Saiful Kahfi</t>
  </si>
  <si>
    <t>Sitti Nurul Ainiyah</t>
  </si>
  <si>
    <t>Bondowoso, 06 January 2004</t>
  </si>
  <si>
    <t>Mahtufah Rodiah</t>
  </si>
  <si>
    <t>Bondowoso, 14 Juni 2004</t>
  </si>
  <si>
    <t>Trotosari, Trotosari, Bondowoso</t>
  </si>
  <si>
    <t>Niriyanto</t>
  </si>
  <si>
    <t>Arini Nur Fadilah</t>
  </si>
  <si>
    <t>Bondowoso, 19 November 2005</t>
  </si>
  <si>
    <t>Sairosi</t>
  </si>
  <si>
    <t>Faridatul Munawwaroh</t>
  </si>
  <si>
    <t>Bondowoso, 30 Mei 2005</t>
  </si>
  <si>
    <t>Suprawi</t>
  </si>
  <si>
    <t>Rofiqoh</t>
  </si>
  <si>
    <t>3 wustha E</t>
  </si>
  <si>
    <t>B. Arab</t>
  </si>
  <si>
    <t>Bondowoso, 09 Agustus 2006</t>
  </si>
  <si>
    <t>Pakel, Tenggarang, Bondowoso</t>
  </si>
  <si>
    <t>Sudar</t>
  </si>
  <si>
    <t>Fitriah</t>
  </si>
  <si>
    <t>Bondowoso, 28 September 2005</t>
  </si>
  <si>
    <t>Abdur</t>
  </si>
  <si>
    <t>Huril Aini</t>
  </si>
  <si>
    <t>Jember,13 April 2006</t>
  </si>
  <si>
    <t>Ledoh Kombo, Ledoh Kombo, Jember</t>
  </si>
  <si>
    <t>Wkit Hidayat</t>
  </si>
  <si>
    <t>Nafilatus Sholihah</t>
  </si>
  <si>
    <t>2 ulya F</t>
  </si>
  <si>
    <t>Bondowoso, 03 February 2007</t>
  </si>
  <si>
    <t>Kemuning Krajan, Tamanan, Bondowoso</t>
  </si>
  <si>
    <t>Munakib</t>
  </si>
  <si>
    <t>Lukluil Mukarromah</t>
  </si>
  <si>
    <t>Bondowoso, 11 Agustus 2006</t>
  </si>
  <si>
    <t>Siti Masruroh</t>
  </si>
  <si>
    <t>Petugas Koperasi</t>
  </si>
  <si>
    <t>Koperasi</t>
  </si>
  <si>
    <t>Bondowoso, 30 juli 2006</t>
  </si>
  <si>
    <t>Randulima, Pujer, Bondowoso</t>
  </si>
  <si>
    <t>sutrisno</t>
  </si>
  <si>
    <r>
      <t xml:space="preserve">Paling akhir jam </t>
    </r>
    <r>
      <rPr>
        <b/>
        <u/>
        <sz val="10"/>
        <color theme="1"/>
        <rFont val="Cambria"/>
        <family val="1"/>
      </rPr>
      <t>12.00</t>
    </r>
    <r>
      <rPr>
        <sz val="10"/>
        <color theme="1"/>
        <rFont val="Cambria"/>
        <family val="1"/>
      </rPr>
      <t xml:space="preserve"> Istiwa' harus sudah berada di pesantren.</t>
    </r>
  </si>
  <si>
    <t xml:space="preserve">3 Ulya B </t>
  </si>
  <si>
    <t xml:space="preserve">2 Ulya E </t>
  </si>
  <si>
    <t xml:space="preserve">3 Wustha </t>
  </si>
  <si>
    <t xml:space="preserve">6 Ula D </t>
  </si>
  <si>
    <t>Mikrudinn</t>
  </si>
  <si>
    <t>Misya</t>
  </si>
  <si>
    <t>Zainur Rofiq</t>
  </si>
  <si>
    <t>Sukarso</t>
  </si>
  <si>
    <t>Hanafi</t>
  </si>
  <si>
    <t>Sitti Nur Afifah</t>
  </si>
  <si>
    <t xml:space="preserve">2 Ulya F </t>
  </si>
  <si>
    <t>Hamidah Ayu Rodiyah</t>
  </si>
  <si>
    <t>Jailani</t>
  </si>
  <si>
    <t>Nia</t>
  </si>
  <si>
    <t>Sumiyati</t>
  </si>
  <si>
    <t>Muslimah</t>
  </si>
  <si>
    <t>Bondowoso, 06 September 2006</t>
  </si>
  <si>
    <t>Gabugan, jambesari Ds, Bondowoso</t>
  </si>
  <si>
    <t>Gurdi</t>
  </si>
  <si>
    <t>Suwarji</t>
  </si>
  <si>
    <t>Sunipa</t>
  </si>
  <si>
    <t xml:space="preserve">2 Wustha </t>
  </si>
  <si>
    <t>Bunawi</t>
  </si>
  <si>
    <t>Niga</t>
  </si>
  <si>
    <t>Ruqoyyah</t>
  </si>
  <si>
    <t>Maryati</t>
  </si>
  <si>
    <t>Soleh</t>
  </si>
  <si>
    <t>Sukarna</t>
  </si>
  <si>
    <t>Sohib</t>
  </si>
  <si>
    <t>Fatmawati</t>
  </si>
  <si>
    <t>3 wustha F</t>
  </si>
  <si>
    <t>Mujari</t>
  </si>
  <si>
    <t>Imrani</t>
  </si>
  <si>
    <t>Tohari</t>
  </si>
  <si>
    <t>Juma'iya</t>
  </si>
  <si>
    <t>Muhani</t>
  </si>
  <si>
    <t>Bukhori</t>
  </si>
  <si>
    <t>Nise</t>
  </si>
  <si>
    <t>Abu Nasar</t>
  </si>
  <si>
    <t>Simah</t>
  </si>
  <si>
    <t>Nur Yati</t>
  </si>
  <si>
    <t>Miskari</t>
  </si>
  <si>
    <t>Buwati</t>
  </si>
  <si>
    <t>1 ulya D</t>
  </si>
  <si>
    <t>Toso</t>
  </si>
  <si>
    <t>Supia</t>
  </si>
  <si>
    <t>Fathur Rohman</t>
  </si>
  <si>
    <t>Juma'iyah</t>
  </si>
  <si>
    <t>Ida Royani</t>
  </si>
  <si>
    <t>Newar</t>
  </si>
  <si>
    <t>Aryani</t>
  </si>
  <si>
    <t>Sumiani</t>
  </si>
  <si>
    <t>Juhairiyanto</t>
  </si>
  <si>
    <t>Saudah</t>
  </si>
  <si>
    <t xml:space="preserve">1 Wustha </t>
  </si>
  <si>
    <t xml:space="preserve">Abdul Rosi </t>
  </si>
  <si>
    <t xml:space="preserve">Maysuro </t>
  </si>
  <si>
    <t xml:space="preserve">Hanafi </t>
  </si>
  <si>
    <t xml:space="preserve">Supandi </t>
  </si>
  <si>
    <t xml:space="preserve">Maimuna </t>
  </si>
  <si>
    <t xml:space="preserve">Aisyah </t>
  </si>
  <si>
    <t xml:space="preserve">Ruhmiyah </t>
  </si>
  <si>
    <t xml:space="preserve">Marwi </t>
  </si>
  <si>
    <t xml:space="preserve">Fitriyah </t>
  </si>
  <si>
    <t>Dilalatul Khoiroh</t>
  </si>
  <si>
    <t>Nadifah</t>
  </si>
  <si>
    <t>Misyan</t>
  </si>
  <si>
    <t>Sandra Eliyin</t>
  </si>
  <si>
    <t>Bondowoso, 07 juni 2006</t>
  </si>
  <si>
    <t>Zubairi</t>
  </si>
  <si>
    <t>Zubaidah</t>
  </si>
  <si>
    <t>Nabilatul Musyarrofah</t>
  </si>
  <si>
    <t>2 uLya</t>
  </si>
  <si>
    <t>Matrawi</t>
  </si>
  <si>
    <t>Mastur</t>
  </si>
  <si>
    <t>Hosna</t>
  </si>
  <si>
    <t>Maria</t>
  </si>
  <si>
    <t>Herman</t>
  </si>
  <si>
    <t>Isdewi</t>
  </si>
  <si>
    <t>Sukardi</t>
  </si>
  <si>
    <t>Hosni</t>
  </si>
  <si>
    <t>Marina</t>
  </si>
  <si>
    <t>Suridin</t>
  </si>
  <si>
    <t>Holiyah</t>
  </si>
  <si>
    <t>Barson</t>
  </si>
  <si>
    <t>Musripa</t>
  </si>
  <si>
    <t>Sutikno</t>
  </si>
  <si>
    <t>Irsyad</t>
  </si>
  <si>
    <t>Meybulan</t>
  </si>
  <si>
    <t>Supardi</t>
  </si>
  <si>
    <t>Toryani</t>
  </si>
  <si>
    <t>3 Wustha C</t>
  </si>
  <si>
    <t>Buridan</t>
  </si>
  <si>
    <t>Buyati</t>
  </si>
  <si>
    <t>Asmidin</t>
  </si>
  <si>
    <t>Alfiyah</t>
  </si>
  <si>
    <t>Alm. Cholili</t>
  </si>
  <si>
    <t>Alm. Nur Aini</t>
  </si>
  <si>
    <t>Junaida</t>
  </si>
  <si>
    <t>Mudarris</t>
  </si>
  <si>
    <t>Saodi</t>
  </si>
  <si>
    <t>Romlah</t>
  </si>
  <si>
    <t>Arifin</t>
  </si>
  <si>
    <t>Jumadi</t>
  </si>
  <si>
    <t>Husnul Khotimah</t>
  </si>
  <si>
    <t>Titin Kamariyah</t>
  </si>
  <si>
    <t>Shinta Sinatun Hillah</t>
  </si>
  <si>
    <t>Bondowoso,31 Agustus 2004</t>
  </si>
  <si>
    <t>Dinda Olivia Ramadhani</t>
  </si>
  <si>
    <t>Jember, 24 November 2005</t>
  </si>
  <si>
    <t>Balet Baru, Sukowono, Jember</t>
  </si>
  <si>
    <t>Qotrun Nada Indah Desia</t>
  </si>
  <si>
    <t>3 ulya C</t>
  </si>
  <si>
    <t>Bondowoso, 27 Desember 2005</t>
  </si>
  <si>
    <t>Sulek pojok, Tlogosari, Bondowoso</t>
  </si>
  <si>
    <t xml:space="preserve">Sobriyanto </t>
  </si>
  <si>
    <t>Wardatus Syarifah</t>
  </si>
  <si>
    <t>Jember, 01 Oktober 2003</t>
  </si>
  <si>
    <t>Kaprawi</t>
  </si>
  <si>
    <t>Bondowoso, 06 Juli 2005</t>
  </si>
  <si>
    <t>Afrianti Roiatus Sholihah</t>
  </si>
  <si>
    <t>D09</t>
  </si>
  <si>
    <t>Bondowoso, 01 April 2005</t>
  </si>
  <si>
    <t>Pejagan, jambesari Ds, Bondowoso</t>
  </si>
  <si>
    <t xml:space="preserve">Fina Rohmatul Ilahi </t>
  </si>
  <si>
    <t>2 Wustha F</t>
  </si>
  <si>
    <t>Bondowoso, 01 Januari 2007</t>
  </si>
  <si>
    <t>Imron Hadi</t>
  </si>
  <si>
    <t>Sakinatul auliya</t>
  </si>
  <si>
    <t>Bondowoso,14 Agustus 2006</t>
  </si>
  <si>
    <t>Masyhuri</t>
  </si>
  <si>
    <t>Muftiatul Karimah</t>
  </si>
  <si>
    <t>Bondowoso,23 Juni 20007</t>
  </si>
  <si>
    <t>Kembang,Tlogosari,Bondowoso</t>
  </si>
  <si>
    <t>Roviatul Maylah</t>
  </si>
  <si>
    <t>Bondowoso,18 Agustus 2007</t>
  </si>
  <si>
    <t>Tegal Jati,Sumber Wringin,Bondowoso</t>
  </si>
  <si>
    <t>Muwarib</t>
  </si>
  <si>
    <t>Kholisatul Qolbi</t>
  </si>
  <si>
    <t>Bondowoso,29 April 2004</t>
  </si>
  <si>
    <t>Fitria Zakiyatus Zahro</t>
  </si>
  <si>
    <t>Bondowoso,30 September 2006</t>
  </si>
  <si>
    <t>Pagungan,Pujer,Bondowoso</t>
  </si>
  <si>
    <t>Rofiqotul Hasanah</t>
  </si>
  <si>
    <t>Bondowoso,06 Juni 2007</t>
  </si>
  <si>
    <t>Badriatul Mghribi</t>
  </si>
  <si>
    <t>2 Wusthsa</t>
  </si>
  <si>
    <t>Ponco Gati,Curah Dami,Bondowoso</t>
  </si>
  <si>
    <t>Fathollah</t>
  </si>
  <si>
    <t>Bondowoso,01 Agustus 2007</t>
  </si>
  <si>
    <t>Kemuning,Tamanan,Bondowoso</t>
  </si>
  <si>
    <t>Abu Nawi</t>
  </si>
  <si>
    <t>Lailatun Nazilah</t>
  </si>
  <si>
    <t>Bondowoso,06 Oktober 2006</t>
  </si>
  <si>
    <t>Abdul Halim</t>
  </si>
  <si>
    <t>Ferawati Agustina</t>
  </si>
  <si>
    <t>Bondowoso,12 Agustus 2007</t>
  </si>
  <si>
    <t>Syafi'i</t>
  </si>
  <si>
    <t>Hillatul Aulia</t>
  </si>
  <si>
    <t>3 WUstha</t>
  </si>
  <si>
    <t>Bondowoso,07 Juli 2007</t>
  </si>
  <si>
    <t>Sitti Zulaikho</t>
  </si>
  <si>
    <t>1 Wustha</t>
  </si>
  <si>
    <t>Jember,30 January 2004</t>
  </si>
  <si>
    <t>Tisnogambar, Bangsalsari, Jember</t>
  </si>
  <si>
    <t>Mu'is</t>
  </si>
  <si>
    <t>Shifatul Hasanah</t>
  </si>
  <si>
    <t>Bondowoso,25 Juli 2005</t>
  </si>
  <si>
    <t>Muhammad Nidin</t>
  </si>
  <si>
    <t>Sindy Antika</t>
  </si>
  <si>
    <t>Jember,20 Juli 2004</t>
  </si>
  <si>
    <t>Gurdang, Sumber Jambe, Jember</t>
  </si>
  <si>
    <t>Muhammad Adin Wahyudi</t>
  </si>
  <si>
    <t>Kholim</t>
  </si>
  <si>
    <t>Jember,01 Maret 2006</t>
  </si>
  <si>
    <t>Tumadiyanto</t>
  </si>
  <si>
    <t>Ana Syifa</t>
  </si>
  <si>
    <t>Bondowoso,25 July 2005</t>
  </si>
  <si>
    <t>Sukorejo,Pakisan,Bondowoso</t>
  </si>
  <si>
    <t>Suwitno</t>
  </si>
  <si>
    <t>Siti Faisatul Layyinah</t>
  </si>
  <si>
    <t>Bondowoso, 05 Agustus 2006</t>
  </si>
  <si>
    <t>Mahsum</t>
  </si>
  <si>
    <t>Siti Qowimatus Sholihah</t>
  </si>
  <si>
    <t>1Ulya E</t>
  </si>
  <si>
    <t>Bondowoso, 17 Juni 2006</t>
  </si>
  <si>
    <t>Ulfa</t>
  </si>
  <si>
    <t>3 Wustho D</t>
  </si>
  <si>
    <t>Bondowoso, 06 Oktober 2007</t>
  </si>
  <si>
    <t xml:space="preserve">Paredi </t>
  </si>
  <si>
    <t xml:space="preserve"> Nanik Maghfiroh</t>
  </si>
  <si>
    <t>Bondowoso, 08 April 2007</t>
  </si>
  <si>
    <t>Siti Latifah</t>
  </si>
  <si>
    <t>Bondowoso, 16 Februari 2006</t>
  </si>
  <si>
    <t xml:space="preserve"> Sumber Pakem, Sumber Jambe, Jember</t>
  </si>
  <si>
    <t>Nawawi</t>
  </si>
  <si>
    <t xml:space="preserve"> Fina Handita</t>
  </si>
  <si>
    <t>1 Wustho H</t>
  </si>
  <si>
    <t>Bondowoso, 28 November 2007</t>
  </si>
  <si>
    <t>Didih Hartono</t>
  </si>
  <si>
    <t>Qurrotul Uyun</t>
  </si>
  <si>
    <t>Bondowoso, 09 Juni 2005</t>
  </si>
  <si>
    <t xml:space="preserve">Abdur Rosyid </t>
  </si>
  <si>
    <t>Ismafiyah</t>
  </si>
  <si>
    <t>Bondowoso, 12 Agustus 2007</t>
  </si>
  <si>
    <t xml:space="preserve">Faridi </t>
  </si>
  <si>
    <t>Afifatul Masluhah</t>
  </si>
  <si>
    <t xml:space="preserve">1 Ulya E </t>
  </si>
  <si>
    <t>Jember, 25 Maret 2007</t>
  </si>
  <si>
    <t>Ampo, Dukuh Mencek, Jember</t>
  </si>
  <si>
    <t xml:space="preserve">Abdul Aziz </t>
  </si>
  <si>
    <t>Bondowoso, 27 Mei 2005</t>
  </si>
  <si>
    <t xml:space="preserve">Asmito </t>
  </si>
  <si>
    <t>Lailatul Mafaza</t>
  </si>
  <si>
    <t>Bondowoso, 16 November 2006</t>
  </si>
  <si>
    <t>Lusi Anggraini</t>
  </si>
  <si>
    <t xml:space="preserve">1 Ulya D </t>
  </si>
  <si>
    <t>Bondowoso, 17 April 2005</t>
  </si>
  <si>
    <t xml:space="preserve">Saiful bahri </t>
  </si>
  <si>
    <t>Bondowoso, 10 Juli 2007</t>
  </si>
  <si>
    <t xml:space="preserve">Misran </t>
  </si>
  <si>
    <t>Alfian Syafiqoh</t>
  </si>
  <si>
    <t>Bondowoso, 12 Maret 2007</t>
  </si>
  <si>
    <t xml:space="preserve">Abdul Muhsil </t>
  </si>
  <si>
    <t>Qiflia</t>
  </si>
  <si>
    <t xml:space="preserve">Baihaqi </t>
  </si>
  <si>
    <t>Nurul Rahmawati</t>
  </si>
  <si>
    <t>Bondowoso, 24 Agustus 2005</t>
  </si>
  <si>
    <t>Kidul Sawah, Tamanan, Bondowoso</t>
  </si>
  <si>
    <t xml:space="preserve">Abdur Rahman </t>
  </si>
  <si>
    <t>Sulis</t>
  </si>
  <si>
    <t xml:space="preserve"> 3 Ulya</t>
  </si>
  <si>
    <t>Bondowoso, 10 April 2004</t>
  </si>
  <si>
    <t>Zakiatus Safina</t>
  </si>
  <si>
    <t>Bondowoso, 20 Agustus 2005</t>
  </si>
  <si>
    <t>Kejawan Dakon, Grujugan Bondowoso</t>
  </si>
  <si>
    <t xml:space="preserve">Sunaryo </t>
  </si>
  <si>
    <t>Siti Mayzaroh</t>
  </si>
  <si>
    <t>Sumber Danti, Sukowono, Jember</t>
  </si>
  <si>
    <t>Millatul Khoir</t>
  </si>
  <si>
    <t>1 U;ya F</t>
  </si>
  <si>
    <t>Bondowoso, 25 Oktober 2006</t>
  </si>
  <si>
    <t xml:space="preserve">Strum </t>
  </si>
  <si>
    <t>Hikmatul Mawaddah</t>
  </si>
  <si>
    <t>Bondowoso, 06 April 2007</t>
  </si>
  <si>
    <t>Dadapan, Tenggarang, Bondowoso</t>
  </si>
  <si>
    <t>Allena Aulia Rafa Elsa</t>
  </si>
  <si>
    <t>Bondowoso, 24 Juni 2007</t>
  </si>
  <si>
    <t>Koncer, Tenggarang, Bondowoso</t>
  </si>
  <si>
    <t>Siti Sofi Amalia</t>
  </si>
  <si>
    <t>Bondowoso, 05 Agustus 2004</t>
  </si>
  <si>
    <t>Ali</t>
  </si>
  <si>
    <t>Bondowoso, 22 Juni 2006</t>
  </si>
  <si>
    <t>Pucanganom, Jambesari Ds, Bondowoso</t>
  </si>
  <si>
    <t>Abdul aziz</t>
  </si>
  <si>
    <t>Dewi Aisyah</t>
  </si>
  <si>
    <t>3 wustha H</t>
  </si>
  <si>
    <t>Bondowoso, 01 Mei 2006</t>
  </si>
  <si>
    <t>Untung</t>
  </si>
  <si>
    <t>Nailatul Mukarromah</t>
  </si>
  <si>
    <t>Bondowoso, 30 September 2007</t>
  </si>
  <si>
    <t>Nurul Fadilah</t>
  </si>
  <si>
    <t>Bondowoso, 07 Desember 2006</t>
  </si>
  <si>
    <t>Qori'ah</t>
  </si>
  <si>
    <t>Aulia Irna .H</t>
  </si>
  <si>
    <t>berhenti</t>
  </si>
  <si>
    <t>Bondowoso, 08 September 2006</t>
  </si>
  <si>
    <t>Grujugan Lor, jambesari DS, Bondowoso</t>
  </si>
  <si>
    <t>Anggi Dwi Rahmawati</t>
  </si>
  <si>
    <t>Bondowoso, 03 Agustus 2005</t>
  </si>
  <si>
    <t>Dawuhan, Maesan, Bondowoso</t>
  </si>
  <si>
    <t>Dela Anggraini Puspita Sari</t>
  </si>
  <si>
    <t>Bondowoso, 28 Mei 2004</t>
  </si>
  <si>
    <t>Mengen, Krajan, Bondowoso</t>
  </si>
  <si>
    <t>Nazilatur Rohmah</t>
  </si>
  <si>
    <t>Bondowoso, 15 September 2004</t>
  </si>
  <si>
    <t>Toli</t>
  </si>
  <si>
    <t>Siti Aisyah</t>
  </si>
  <si>
    <t>Bondowoso, 20 September 2006</t>
  </si>
  <si>
    <t>Kabuaran, Maesan, Bondowoso</t>
  </si>
  <si>
    <t>Kuswari</t>
  </si>
  <si>
    <t>Siti Ziyadatul Widad</t>
  </si>
  <si>
    <t>Melyna Pusfita Dewi</t>
  </si>
  <si>
    <t>Bondowoso, 21 Agustus 2006</t>
  </si>
  <si>
    <t>Dela Yuni Fauzatul Jannah</t>
  </si>
  <si>
    <t>Bondowoso, 11 November 2005</t>
  </si>
  <si>
    <t>Siti Nailatur Rosyidah</t>
  </si>
  <si>
    <t>Bondowoso, 15 Mei 2007</t>
  </si>
  <si>
    <t>Fian Firmansyah</t>
  </si>
  <si>
    <t>Jambesari 036/007 Jambesari Ds Bondowoso</t>
  </si>
  <si>
    <t xml:space="preserve">1A </t>
  </si>
  <si>
    <t>M Rofiqi</t>
  </si>
  <si>
    <t>Jambeanom 029/005 Jambeasari DS Bondowoso</t>
  </si>
  <si>
    <t>Agil Sururi</t>
  </si>
  <si>
    <t>Grujugan Kidul 011/002 Grujugan Bondowoso</t>
  </si>
  <si>
    <t>Rahmat Hidayat</t>
  </si>
  <si>
    <t>Nurul Hidayat</t>
  </si>
  <si>
    <t>Kembang Tlogosari Bondowoso</t>
  </si>
  <si>
    <t>M Fikri</t>
  </si>
  <si>
    <t>Sulek 003/002 Tlogosari Bondowoso</t>
  </si>
  <si>
    <t>Ahmad Ridwan</t>
  </si>
  <si>
    <t>Jambenom Jambesari Bondowoso</t>
  </si>
  <si>
    <t xml:space="preserve">2D </t>
  </si>
  <si>
    <t>Hidayatullah</t>
  </si>
  <si>
    <t>Sukosari Sukowono jember</t>
  </si>
  <si>
    <t>M Danil Islam</t>
  </si>
  <si>
    <t>Randu Cangkring Pujer Bondowoso</t>
  </si>
  <si>
    <t>Asrofil Anam</t>
  </si>
  <si>
    <t xml:space="preserve">C 09 </t>
  </si>
  <si>
    <t>Jatikoong Mengok Pujer Bondowoso</t>
  </si>
  <si>
    <t>Candra Al-Utsmani</t>
  </si>
  <si>
    <t>Kalianyar Tamanan Bondowoso</t>
  </si>
  <si>
    <t>Afandi</t>
  </si>
  <si>
    <t>Kejayan Pujer Bondowoso</t>
  </si>
  <si>
    <t xml:space="preserve">Faisal </t>
  </si>
  <si>
    <t>Muhammad Akmalul Khoir</t>
  </si>
  <si>
    <t>Wildan Maulana</t>
  </si>
  <si>
    <t>Sbr Jeruk Jambesari DS Bondowoso</t>
  </si>
  <si>
    <t>M Arik Kusmiran</t>
  </si>
  <si>
    <t>Gabugan Jambesari Bondowoso</t>
  </si>
  <si>
    <t>Bangkalan</t>
  </si>
  <si>
    <t>17 Tahun, 7 Bulan, 15 Hari</t>
  </si>
  <si>
    <t>17 Tahun, 7 Bulan, 1 Hari</t>
  </si>
  <si>
    <t>17 Tahun, 11 Bulan, 25 Hari</t>
  </si>
  <si>
    <t>17 Tahun, 2 Bulan, 9 Hari</t>
  </si>
  <si>
    <t>17 Tahun, 5 Bulan, 22 Hari</t>
  </si>
  <si>
    <t>19 Tahun, 6 Bulan, 22 Hari</t>
  </si>
  <si>
    <t>17 Tahun, 4 Bulan, 18 Hari</t>
  </si>
  <si>
    <t>18 Tahun, 10 Bulan, 12 Hari</t>
  </si>
  <si>
    <t>18 Tahun, 9 Bulan, 5 Hari</t>
  </si>
  <si>
    <t>17 Tahun, 2 Bulan, 18 Hari</t>
  </si>
  <si>
    <t>19 Tahun, 1 Bulan, 24 Hari</t>
  </si>
  <si>
    <t>20 Tahun, 1 Bulan, 25 Hari</t>
  </si>
  <si>
    <t>20 Tahun, 10 Bulan, 8 Hari</t>
  </si>
  <si>
    <t>18 Tahun, 6 Bulan, 12 Hari</t>
  </si>
  <si>
    <t>21 Tahun, 0 Bulan, 13 Hari</t>
  </si>
  <si>
    <t>17 Tahun, 10 Bulan, 24 Hari</t>
  </si>
  <si>
    <t>17 Tahun, 2 Bulan, 23 Hari</t>
  </si>
  <si>
    <t>18 Tahun, 9 Bulan, 7 Hari</t>
  </si>
  <si>
    <t>19 Tahun, 11 Bulan, 15 Hari</t>
  </si>
  <si>
    <t>19 Tahun, 7 Bulan, 20 Hari</t>
  </si>
  <si>
    <t>19 Tahun, 7 Bulan, 30 Hari</t>
  </si>
  <si>
    <t>19 Tahun, 8 Bulan, 7 Hari</t>
  </si>
  <si>
    <t>17 Tahun, 10 Bulan, 26 Hari</t>
  </si>
  <si>
    <t>19 Tahun, 4 Bulan, 26 Hari</t>
  </si>
  <si>
    <t>20 Tahun, 9 Bulan, 13 Hari</t>
  </si>
  <si>
    <t>20 Tahun, 2 Bulan, 19 Hari</t>
  </si>
  <si>
    <t>124 Tahun, 10 Bulan, 27 Hari</t>
  </si>
  <si>
    <t>17 Tahun, 7 Bulan, 9 Hari</t>
  </si>
  <si>
    <t>17 Tahun, 2 Bulan, 28 Hari</t>
  </si>
  <si>
    <t>18 Tahun, 2 Bulan, 18 Hari</t>
  </si>
  <si>
    <t>17 Tahun, 9 Bulan, 1 Hari</t>
  </si>
  <si>
    <t>22 Tahun, 4 Bulan, 13 Hari</t>
  </si>
  <si>
    <t>19 Tahun, 2 Bulan, 18 Hari</t>
  </si>
  <si>
    <t>19 Tahun, 0 Bulan, 17 Hari</t>
  </si>
  <si>
    <t>19 Tahun, 3 Bulan, 1 Hari</t>
  </si>
  <si>
    <t>19 Tahun, 3 Bulan, 26 Hari</t>
  </si>
  <si>
    <t>19 Tahun, 7 Bulan, 12 Hari</t>
  </si>
  <si>
    <t>17 Tahun, 4 Bulan, 0 Hari</t>
  </si>
  <si>
    <t>18 Tahun, 0 Bulan, 21 Hari</t>
  </si>
  <si>
    <t>17 Tahun, 5 Bulan, 5 Hari</t>
  </si>
  <si>
    <t>19 Tahun, 7 Bulan, 17 Hari</t>
  </si>
  <si>
    <t>17 Tahun, 1 Bulan, 17 Hari</t>
  </si>
  <si>
    <t>20 Tahun, 0 Bulan, 13 Hari</t>
  </si>
  <si>
    <t>20 Tahun, 0 Bulan, 1 Hari</t>
  </si>
  <si>
    <t>20 Tahun, 4 Bulan, 21 Hari</t>
  </si>
  <si>
    <t>21 Tahun, 8 Bulan, 3 Hari</t>
  </si>
  <si>
    <t>17 Tahun, 0 Bulan, 24 Hari</t>
  </si>
  <si>
    <t>19 Tahun, 5 Bulan, 6 Hari</t>
  </si>
  <si>
    <t>18 Tahun, 3 Bulan, 1 Hari</t>
  </si>
  <si>
    <t>Rabu  - 25 Jumadil Ula 1446 H. - 27 November 2024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</si>
</sst>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p&quot;* #,##0.00_-;\-&quot;Rp&quot;* #,##0.00_-;_-&quot;Rp&quot;* &quot;-&quot;??_-;_-@_-"/>
    <numFmt numFmtId="164" formatCode="[$-421]dd\ mmmm\ yyyy;@"/>
    <numFmt numFmtId="165" formatCode="@\ * \:"/>
  </numFmts>
  <fonts count="21" x14ac:knownFonts="1">
    <font>
      <sz val="11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11"/>
      <color theme="9" tint="-0.499984740745262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10"/>
      <color theme="1"/>
      <name val="Cambria"/>
      <family val="1"/>
    </font>
    <font>
      <b/>
      <sz val="10"/>
      <color theme="1"/>
      <name val="Cambria"/>
      <family val="1"/>
    </font>
    <font>
      <sz val="10"/>
      <color theme="0"/>
      <name val="Calibri"/>
      <family val="2"/>
      <charset val="1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249977111117893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Cambria"/>
      <family val="1"/>
    </font>
    <font>
      <sz val="10"/>
      <color theme="0"/>
      <name val="Cambria"/>
      <family val="1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/>
    <xf numFmtId="0" fontId="3" fillId="0" borderId="4" xfId="0" applyFont="1" applyBorder="1"/>
    <xf numFmtId="44" fontId="3" fillId="0" borderId="0" xfId="1" applyFont="1"/>
    <xf numFmtId="0" fontId="4" fillId="0" borderId="0" xfId="0" applyFont="1"/>
    <xf numFmtId="0" fontId="4" fillId="0" borderId="4" xfId="0" applyFont="1" applyBorder="1"/>
    <xf numFmtId="0" fontId="5" fillId="0" borderId="0" xfId="0" applyFont="1"/>
    <xf numFmtId="0" fontId="6" fillId="0" borderId="0" xfId="0" applyFont="1" applyAlignment="1">
      <alignment vertical="top" wrapText="1"/>
    </xf>
    <xf numFmtId="0" fontId="6" fillId="0" borderId="0" xfId="0" applyFont="1"/>
    <xf numFmtId="0" fontId="5" fillId="0" borderId="4" xfId="0" applyFont="1" applyBorder="1"/>
    <xf numFmtId="165" fontId="7" fillId="0" borderId="0" xfId="0" applyNumberFormat="1" applyFont="1"/>
    <xf numFmtId="0" fontId="6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0" fontId="10" fillId="0" borderId="0" xfId="0" quotePrefix="1" applyFont="1" applyAlignment="1">
      <alignment horizontal="right" vertical="top"/>
    </xf>
    <xf numFmtId="0" fontId="9" fillId="0" borderId="4" xfId="0" applyFont="1" applyBorder="1"/>
    <xf numFmtId="0" fontId="12" fillId="0" borderId="0" xfId="0" applyFont="1"/>
    <xf numFmtId="0" fontId="13" fillId="0" borderId="0" xfId="0" applyFont="1"/>
    <xf numFmtId="0" fontId="1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5" fillId="0" borderId="1" xfId="0" applyFont="1" applyBorder="1" applyAlignment="1">
      <alignment horizontal="left"/>
    </xf>
    <xf numFmtId="0" fontId="0" fillId="0" borderId="3" xfId="0" applyBorder="1"/>
    <xf numFmtId="0" fontId="15" fillId="0" borderId="1" xfId="0" applyFont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15" fillId="3" borderId="1" xfId="0" applyFont="1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0" fontId="0" fillId="3" borderId="9" xfId="0" applyFill="1" applyBorder="1"/>
    <xf numFmtId="0" fontId="0" fillId="3" borderId="1" xfId="0" applyFill="1" applyBorder="1" applyAlignment="1">
      <alignment horizontal="left" vertical="center"/>
    </xf>
    <xf numFmtId="0" fontId="15" fillId="3" borderId="1" xfId="0" applyFont="1" applyFill="1" applyBorder="1"/>
    <xf numFmtId="0" fontId="0" fillId="3" borderId="3" xfId="0" applyFill="1" applyBorder="1"/>
    <xf numFmtId="0" fontId="15" fillId="3" borderId="1" xfId="0" applyFont="1" applyFill="1" applyBorder="1" applyAlignment="1">
      <alignment horizontal="center" vertical="center"/>
    </xf>
    <xf numFmtId="15" fontId="0" fillId="3" borderId="1" xfId="0" applyNumberFormat="1" applyFill="1" applyBorder="1"/>
    <xf numFmtId="0" fontId="14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14" fontId="2" fillId="0" borderId="1" xfId="0" applyNumberFormat="1" applyFont="1" applyBorder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/>
    </xf>
    <xf numFmtId="0" fontId="0" fillId="4" borderId="1" xfId="0" applyFill="1" applyBorder="1"/>
    <xf numFmtId="0" fontId="0" fillId="4" borderId="0" xfId="0" applyFill="1" applyAlignment="1">
      <alignment vertical="center"/>
    </xf>
    <xf numFmtId="0" fontId="11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/>
    </xf>
    <xf numFmtId="0" fontId="4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3" fillId="0" borderId="6" xfId="0" applyFont="1" applyBorder="1" applyAlignment="1">
      <alignment horizontal="left"/>
    </xf>
    <xf numFmtId="0" fontId="6" fillId="0" borderId="0" xfId="0" applyFont="1" applyAlignment="1">
      <alignment horizontal="justify" vertical="top" wrapText="1"/>
    </xf>
    <xf numFmtId="0" fontId="18" fillId="0" borderId="0" xfId="0" applyFont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top" wrapText="1"/>
    </xf>
    <xf numFmtId="0" fontId="20" fillId="0" borderId="6" xfId="0" applyFont="1" applyBorder="1" applyAlignment="1">
      <alignment horizontal="left"/>
    </xf>
    <xf numFmtId="0" fontId="2" fillId="0" borderId="0" xfId="0" applyFont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575636</xdr:colOff>
      <xdr:row>20</xdr:row>
      <xdr:rowOff>85725</xdr:rowOff>
    </xdr:from>
    <xdr:to>
      <xdr:col>7</xdr:col>
      <xdr:colOff>522022</xdr:colOff>
      <xdr:row>25</xdr:row>
      <xdr:rowOff>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41C8EB7-C8AF-4470-A914-D0FFA1A5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6461" y="4124325"/>
          <a:ext cx="1165586" cy="866775"/>
        </a:xfrm>
        <a:prstGeom prst="rect">
          <a:avLst/>
        </a:prstGeom>
      </xdr:spPr>
    </xdr:pic>
    <xdr:clientData/>
  </xdr:twoCellAnchor>
  <xdr:twoCellAnchor editAs="oneCell">
    <xdr:from>
      <xdr:col>16</xdr:col>
      <xdr:colOff>632786</xdr:colOff>
      <xdr:row>20</xdr:row>
      <xdr:rowOff>19050</xdr:rowOff>
    </xdr:from>
    <xdr:to>
      <xdr:col>18</xdr:col>
      <xdr:colOff>579173</xdr:colOff>
      <xdr:row>24</xdr:row>
      <xdr:rowOff>123825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FEE90DE-43C0-4011-941A-D6A0F2753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611" y="4057650"/>
          <a:ext cx="1165587" cy="866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575636</xdr:colOff>
      <xdr:row>20</xdr:row>
      <xdr:rowOff>85725</xdr:rowOff>
    </xdr:from>
    <xdr:to>
      <xdr:col>7</xdr:col>
      <xdr:colOff>522022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225F967-BDA0-4C88-AB71-364CACFEB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261" y="3943350"/>
          <a:ext cx="1165586" cy="866775"/>
        </a:xfrm>
        <a:prstGeom prst="rect">
          <a:avLst/>
        </a:prstGeom>
      </xdr:spPr>
    </xdr:pic>
    <xdr:clientData/>
  </xdr:twoCellAnchor>
  <xdr:twoCellAnchor editAs="oneCell">
    <xdr:from>
      <xdr:col>16</xdr:col>
      <xdr:colOff>632786</xdr:colOff>
      <xdr:row>20</xdr:row>
      <xdr:rowOff>19050</xdr:rowOff>
    </xdr:from>
    <xdr:to>
      <xdr:col>18</xdr:col>
      <xdr:colOff>579173</xdr:colOff>
      <xdr:row>24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D64CE4-8A4B-4F84-95BD-53ECE3CCD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4836" y="3876675"/>
          <a:ext cx="1165587" cy="866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1BB45-339D-49CB-9365-512FC6CBF411}">
  <sheetPr codeName="Sheet1"/>
  <dimension ref="A1:N428"/>
  <sheetViews>
    <sheetView topLeftCell="A394" workbookViewId="0">
      <selection activeCell="A376" sqref="A376:H428"/>
    </sheetView>
  </sheetViews>
  <sheetFormatPr defaultRowHeight="15" x14ac:dyDescent="0.25"/>
  <cols>
    <col min="1" max="1" width="10.140625" style="3" bestFit="1" customWidth="1"/>
    <col min="2" max="2" width="5" style="3" hidden="1" customWidth="1"/>
    <col min="3" max="3" width="6.42578125" style="5" hidden="1" customWidth="1"/>
    <col min="4" max="4" width="5.42578125" style="3" hidden="1" customWidth="1"/>
    <col min="5" max="5" width="8.28515625" style="3" hidden="1" customWidth="1"/>
    <col min="6" max="6" width="14.85546875" style="5" hidden="1" customWidth="1"/>
    <col min="7" max="7" width="33.5703125" style="5" bestFit="1" customWidth="1"/>
    <col min="8" max="8" width="14.7109375" style="6" bestFit="1" customWidth="1"/>
    <col min="9" max="9" width="18" style="6" bestFit="1" customWidth="1"/>
    <col min="10" max="10" width="10.5703125" style="3" bestFit="1" customWidth="1"/>
    <col min="11" max="11" width="89.28515625" style="5" bestFit="1" customWidth="1"/>
    <col min="12" max="12" width="28.140625" style="5" bestFit="1" customWidth="1"/>
    <col min="13" max="13" width="20.42578125" style="5" bestFit="1" customWidth="1"/>
    <col min="14" max="14" width="25.85546875" style="5" bestFit="1" customWidth="1"/>
    <col min="15" max="16384" width="9.140625" style="5"/>
  </cols>
  <sheetData>
    <row r="1" spans="1:14" ht="20.100000000000001" customHeight="1" x14ac:dyDescent="0.25">
      <c r="A1" s="1" t="s">
        <v>0</v>
      </c>
      <c r="B1" s="1"/>
      <c r="C1" s="4"/>
      <c r="D1" s="1" t="s">
        <v>1577</v>
      </c>
      <c r="E1" s="1" t="s">
        <v>1576</v>
      </c>
      <c r="F1" s="4" t="s">
        <v>1</v>
      </c>
      <c r="G1" s="4" t="s">
        <v>2</v>
      </c>
      <c r="H1" s="2" t="s">
        <v>3</v>
      </c>
      <c r="I1" s="1" t="s">
        <v>4</v>
      </c>
      <c r="J1" s="1" t="s">
        <v>5</v>
      </c>
      <c r="K1" s="4" t="s">
        <v>6</v>
      </c>
      <c r="L1" s="4" t="s">
        <v>7</v>
      </c>
      <c r="M1" s="4"/>
      <c r="N1" s="4" t="s">
        <v>8</v>
      </c>
    </row>
    <row r="2" spans="1:14" ht="18" customHeight="1" x14ac:dyDescent="0.25">
      <c r="A2" s="1">
        <v>1</v>
      </c>
      <c r="B2" s="1">
        <v>24</v>
      </c>
      <c r="C2" s="4">
        <v>0</v>
      </c>
      <c r="D2" s="1" t="s">
        <v>10</v>
      </c>
      <c r="E2" s="1" t="s">
        <v>11</v>
      </c>
      <c r="F2" s="4">
        <v>1450198</v>
      </c>
      <c r="G2" s="4" t="s">
        <v>105</v>
      </c>
      <c r="H2" s="2" t="s">
        <v>14</v>
      </c>
      <c r="I2" s="7">
        <v>39365.416666666664</v>
      </c>
      <c r="J2" s="1" t="s">
        <v>92</v>
      </c>
      <c r="K2" s="4" t="s">
        <v>106</v>
      </c>
      <c r="L2" s="4" t="s">
        <v>107</v>
      </c>
      <c r="M2" s="4" t="s">
        <v>108</v>
      </c>
      <c r="N2" s="8" t="str">
        <f t="shared" ref="N2:N65" ca="1" si="0">DATEDIF(I2,NOW(),"Y")&amp;" Tahun, "&amp;DATEDIF(I2,NOW(),"YM")&amp;" Bulan, "&amp;DATEDIF(I2,NOW(),"MD")&amp;" Hari"</f>
        <v>17 Tahun, 2 Bulan, 11 Hari</v>
      </c>
    </row>
    <row r="3" spans="1:14" ht="18" customHeight="1" x14ac:dyDescent="0.25">
      <c r="A3" s="1">
        <v>2</v>
      </c>
      <c r="B3" s="1">
        <v>1049</v>
      </c>
      <c r="C3" s="4"/>
      <c r="D3" s="1" t="s">
        <v>128</v>
      </c>
      <c r="E3" s="1" t="s">
        <v>17</v>
      </c>
      <c r="F3" s="4">
        <v>1535</v>
      </c>
      <c r="G3" s="4" t="s">
        <v>129</v>
      </c>
      <c r="H3" s="2" t="s">
        <v>14</v>
      </c>
      <c r="I3" s="7" t="s">
        <v>130</v>
      </c>
      <c r="J3" s="1" t="s">
        <v>16</v>
      </c>
      <c r="K3" s="4" t="s">
        <v>131</v>
      </c>
      <c r="L3" s="4" t="s">
        <v>132</v>
      </c>
      <c r="M3" s="4" t="s">
        <v>133</v>
      </c>
      <c r="N3" s="8" t="str">
        <f t="shared" ca="1" si="0"/>
        <v>19 Tahun, 4 Bulan, 4 Hari</v>
      </c>
    </row>
    <row r="4" spans="1:14" ht="18" customHeight="1" x14ac:dyDescent="0.25">
      <c r="A4" s="1">
        <v>3</v>
      </c>
      <c r="B4" s="1">
        <v>1067</v>
      </c>
      <c r="C4" s="4"/>
      <c r="D4" s="1" t="s">
        <v>128</v>
      </c>
      <c r="E4" s="1" t="s">
        <v>17</v>
      </c>
      <c r="F4" s="4">
        <v>1584</v>
      </c>
      <c r="G4" s="4" t="s">
        <v>134</v>
      </c>
      <c r="H4" s="2" t="s">
        <v>14</v>
      </c>
      <c r="I4" s="7" t="s">
        <v>135</v>
      </c>
      <c r="J4" s="1" t="s">
        <v>16</v>
      </c>
      <c r="K4" s="4" t="s">
        <v>136</v>
      </c>
      <c r="L4" s="4" t="s">
        <v>137</v>
      </c>
      <c r="M4" s="4" t="s">
        <v>138</v>
      </c>
      <c r="N4" s="8" t="str">
        <f t="shared" ca="1" si="0"/>
        <v>20 Tahun, 2 Bulan, 12 Hari</v>
      </c>
    </row>
    <row r="5" spans="1:14" ht="18" customHeight="1" x14ac:dyDescent="0.25">
      <c r="A5" s="1">
        <v>4</v>
      </c>
      <c r="B5" s="1">
        <v>1001</v>
      </c>
      <c r="C5" s="4"/>
      <c r="D5" s="1">
        <v>1</v>
      </c>
      <c r="E5" s="1" t="s">
        <v>17</v>
      </c>
      <c r="F5" s="4">
        <v>2529</v>
      </c>
      <c r="G5" s="4" t="s">
        <v>139</v>
      </c>
      <c r="H5" s="2" t="s">
        <v>14</v>
      </c>
      <c r="I5" s="7" t="s">
        <v>140</v>
      </c>
      <c r="J5" s="1" t="s">
        <v>16</v>
      </c>
      <c r="K5" s="4" t="s">
        <v>141</v>
      </c>
      <c r="L5" s="4" t="s">
        <v>142</v>
      </c>
      <c r="M5" s="4" t="s">
        <v>143</v>
      </c>
      <c r="N5" s="8" t="str">
        <f t="shared" ca="1" si="0"/>
        <v>22 Tahun, 6 Bulan, 6 Hari</v>
      </c>
    </row>
    <row r="6" spans="1:14" ht="18" customHeight="1" x14ac:dyDescent="0.25">
      <c r="A6" s="1">
        <v>5</v>
      </c>
      <c r="B6" s="1">
        <v>829</v>
      </c>
      <c r="C6" s="4" t="s">
        <v>112</v>
      </c>
      <c r="D6" s="1" t="s">
        <v>113</v>
      </c>
      <c r="E6" s="1" t="s">
        <v>9</v>
      </c>
      <c r="F6" s="4">
        <v>2741</v>
      </c>
      <c r="G6" s="4" t="s">
        <v>114</v>
      </c>
      <c r="H6" s="2" t="s">
        <v>14</v>
      </c>
      <c r="I6" s="7">
        <v>39379</v>
      </c>
      <c r="J6" s="1" t="s">
        <v>16</v>
      </c>
      <c r="K6" s="4" t="s">
        <v>115</v>
      </c>
      <c r="L6" s="4" t="s">
        <v>101</v>
      </c>
      <c r="M6" s="4" t="s">
        <v>116</v>
      </c>
      <c r="N6" s="8" t="str">
        <f t="shared" ca="1" si="0"/>
        <v>17 Tahun, 1 Bulan, 27 Hari</v>
      </c>
    </row>
    <row r="7" spans="1:14" ht="18" customHeight="1" x14ac:dyDescent="0.25">
      <c r="A7" s="1">
        <v>6</v>
      </c>
      <c r="B7" s="1">
        <v>642</v>
      </c>
      <c r="C7" s="4" t="s">
        <v>117</v>
      </c>
      <c r="D7" s="1" t="s">
        <v>118</v>
      </c>
      <c r="E7" s="1" t="s">
        <v>9</v>
      </c>
      <c r="F7" s="4">
        <v>3218</v>
      </c>
      <c r="G7" s="4" t="s">
        <v>119</v>
      </c>
      <c r="H7" s="2" t="s">
        <v>14</v>
      </c>
      <c r="I7" s="7">
        <v>39374</v>
      </c>
      <c r="J7" s="1" t="s">
        <v>16</v>
      </c>
      <c r="K7" s="4" t="s">
        <v>120</v>
      </c>
      <c r="L7" s="4" t="s">
        <v>121</v>
      </c>
      <c r="M7" s="4" t="s">
        <v>122</v>
      </c>
      <c r="N7" s="8" t="str">
        <f t="shared" ca="1" si="0"/>
        <v>17 Tahun, 2 Bulan, 2 Hari</v>
      </c>
    </row>
    <row r="8" spans="1:14" ht="18" customHeight="1" x14ac:dyDescent="0.25">
      <c r="A8" s="1">
        <v>7</v>
      </c>
      <c r="B8" s="1">
        <v>804</v>
      </c>
      <c r="C8" s="4"/>
      <c r="D8" s="1" t="s">
        <v>123</v>
      </c>
      <c r="E8" s="1" t="s">
        <v>9</v>
      </c>
      <c r="F8" s="4">
        <v>2885</v>
      </c>
      <c r="G8" s="4" t="s">
        <v>124</v>
      </c>
      <c r="H8" s="2" t="s">
        <v>14</v>
      </c>
      <c r="I8" s="7">
        <v>39205</v>
      </c>
      <c r="J8" s="1" t="s">
        <v>16</v>
      </c>
      <c r="K8" s="4" t="s">
        <v>125</v>
      </c>
      <c r="L8" s="4" t="s">
        <v>126</v>
      </c>
      <c r="M8" s="4" t="s">
        <v>127</v>
      </c>
      <c r="N8" s="8" t="str">
        <f t="shared" ca="1" si="0"/>
        <v>17 Tahun, 7 Bulan, 18 Hari</v>
      </c>
    </row>
    <row r="9" spans="1:14" ht="18" customHeight="1" x14ac:dyDescent="0.25">
      <c r="A9" s="1">
        <v>8</v>
      </c>
      <c r="B9" s="1">
        <v>1106</v>
      </c>
      <c r="C9" s="4"/>
      <c r="D9" s="1" t="s">
        <v>166</v>
      </c>
      <c r="E9" s="1" t="s">
        <v>17</v>
      </c>
      <c r="F9" s="4">
        <v>1574</v>
      </c>
      <c r="G9" s="4" t="s">
        <v>167</v>
      </c>
      <c r="H9" s="2" t="s">
        <v>14</v>
      </c>
      <c r="I9" s="7" t="s">
        <v>168</v>
      </c>
      <c r="J9" s="1" t="s">
        <v>18</v>
      </c>
      <c r="K9" s="4" t="s">
        <v>169</v>
      </c>
      <c r="L9" s="4" t="s">
        <v>170</v>
      </c>
      <c r="M9" s="4" t="s">
        <v>171</v>
      </c>
      <c r="N9" s="8" t="str">
        <f t="shared" ca="1" si="0"/>
        <v>18 Tahun, 11 Bulan, 26 Hari</v>
      </c>
    </row>
    <row r="10" spans="1:14" ht="18" customHeight="1" x14ac:dyDescent="0.25">
      <c r="A10" s="1">
        <v>9</v>
      </c>
      <c r="B10" s="1">
        <v>966</v>
      </c>
      <c r="C10" s="4"/>
      <c r="D10" s="1">
        <v>1</v>
      </c>
      <c r="E10" s="1" t="s">
        <v>17</v>
      </c>
      <c r="F10" s="4">
        <v>2435</v>
      </c>
      <c r="G10" s="4" t="s">
        <v>172</v>
      </c>
      <c r="H10" s="2" t="s">
        <v>14</v>
      </c>
      <c r="I10" s="7" t="s">
        <v>173</v>
      </c>
      <c r="J10" s="1" t="s">
        <v>18</v>
      </c>
      <c r="K10" s="4" t="s">
        <v>174</v>
      </c>
      <c r="L10" s="4" t="s">
        <v>175</v>
      </c>
      <c r="M10" s="4">
        <v>0</v>
      </c>
      <c r="N10" s="8" t="str">
        <f t="shared" ca="1" si="0"/>
        <v>20 Tahun, 1 Bulan, 22 Hari</v>
      </c>
    </row>
    <row r="11" spans="1:14" ht="18" customHeight="1" x14ac:dyDescent="0.25">
      <c r="A11" s="1">
        <v>10</v>
      </c>
      <c r="B11" s="1">
        <v>983</v>
      </c>
      <c r="C11" s="4"/>
      <c r="D11" s="1">
        <v>1</v>
      </c>
      <c r="E11" s="1" t="s">
        <v>17</v>
      </c>
      <c r="F11" s="4">
        <v>2464</v>
      </c>
      <c r="G11" s="4" t="s">
        <v>176</v>
      </c>
      <c r="H11" s="2" t="s">
        <v>14</v>
      </c>
      <c r="I11" s="7" t="s">
        <v>177</v>
      </c>
      <c r="J11" s="1" t="s">
        <v>18</v>
      </c>
      <c r="K11" s="4" t="s">
        <v>151</v>
      </c>
      <c r="L11" s="4" t="s">
        <v>178</v>
      </c>
      <c r="M11" s="4" t="s">
        <v>179</v>
      </c>
      <c r="N11" s="8" t="str">
        <f t="shared" ca="1" si="0"/>
        <v>21 Tahun, 2 Bulan, 4 Hari</v>
      </c>
    </row>
    <row r="12" spans="1:14" ht="18" customHeight="1" x14ac:dyDescent="0.25">
      <c r="A12" s="1">
        <v>11</v>
      </c>
      <c r="B12" s="1">
        <v>591</v>
      </c>
      <c r="C12" s="4" t="s">
        <v>144</v>
      </c>
      <c r="D12" s="1" t="s">
        <v>145</v>
      </c>
      <c r="E12" s="1" t="s">
        <v>9</v>
      </c>
      <c r="F12" s="4">
        <v>3741</v>
      </c>
      <c r="G12" s="4" t="s">
        <v>146</v>
      </c>
      <c r="H12" s="2">
        <v>0</v>
      </c>
      <c r="I12" s="7">
        <v>0</v>
      </c>
      <c r="J12" s="1" t="s">
        <v>18</v>
      </c>
      <c r="K12" s="4">
        <v>0</v>
      </c>
      <c r="L12" s="4" t="s">
        <v>147</v>
      </c>
      <c r="M12" s="4" t="s">
        <v>148</v>
      </c>
      <c r="N12" s="8" t="str">
        <f t="shared" ca="1" si="0"/>
        <v>124 Tahun, 11 Bulan, 21 Hari</v>
      </c>
    </row>
    <row r="13" spans="1:14" ht="18" customHeight="1" x14ac:dyDescent="0.25">
      <c r="A13" s="1">
        <v>12</v>
      </c>
      <c r="B13" s="1">
        <v>479</v>
      </c>
      <c r="C13" s="4"/>
      <c r="D13" s="1" t="s">
        <v>110</v>
      </c>
      <c r="E13" s="1" t="s">
        <v>9</v>
      </c>
      <c r="F13" s="4">
        <v>3210</v>
      </c>
      <c r="G13" s="4" t="s">
        <v>155</v>
      </c>
      <c r="H13" s="2" t="s">
        <v>14</v>
      </c>
      <c r="I13" s="7">
        <v>39078</v>
      </c>
      <c r="J13" s="1" t="s">
        <v>18</v>
      </c>
      <c r="K13" s="4" t="s">
        <v>156</v>
      </c>
      <c r="L13" s="4" t="s">
        <v>157</v>
      </c>
      <c r="M13" s="4" t="s">
        <v>158</v>
      </c>
      <c r="N13" s="8" t="str">
        <f t="shared" ca="1" si="0"/>
        <v>17 Tahun, 11 Bulan, 24 Hari</v>
      </c>
    </row>
    <row r="14" spans="1:14" ht="18" customHeight="1" x14ac:dyDescent="0.25">
      <c r="A14" s="1">
        <v>13</v>
      </c>
      <c r="B14" s="1">
        <v>782</v>
      </c>
      <c r="C14" s="4" t="s">
        <v>117</v>
      </c>
      <c r="D14" s="1" t="s">
        <v>153</v>
      </c>
      <c r="E14" s="1" t="s">
        <v>9</v>
      </c>
      <c r="F14" s="4">
        <v>2746</v>
      </c>
      <c r="G14" s="4" t="s">
        <v>159</v>
      </c>
      <c r="H14" s="2" t="s">
        <v>14</v>
      </c>
      <c r="I14" s="7">
        <v>39323</v>
      </c>
      <c r="J14" s="1" t="s">
        <v>18</v>
      </c>
      <c r="K14" s="4" t="s">
        <v>154</v>
      </c>
      <c r="L14" s="4" t="s">
        <v>160</v>
      </c>
      <c r="M14" s="4" t="s">
        <v>161</v>
      </c>
      <c r="N14" s="8" t="str">
        <f t="shared" ca="1" si="0"/>
        <v>17 Tahun, 3 Bulan, 22 Hari</v>
      </c>
    </row>
    <row r="15" spans="1:14" ht="18" customHeight="1" x14ac:dyDescent="0.25">
      <c r="A15" s="1">
        <v>14</v>
      </c>
      <c r="B15" s="1">
        <v>748</v>
      </c>
      <c r="C15" s="4" t="s">
        <v>144</v>
      </c>
      <c r="D15" s="1" t="s">
        <v>153</v>
      </c>
      <c r="E15" s="1" t="s">
        <v>9</v>
      </c>
      <c r="F15" s="4">
        <v>3492</v>
      </c>
      <c r="G15" s="4" t="s">
        <v>162</v>
      </c>
      <c r="H15" s="2" t="s">
        <v>14</v>
      </c>
      <c r="I15" s="7" t="s">
        <v>163</v>
      </c>
      <c r="J15" s="1" t="s">
        <v>18</v>
      </c>
      <c r="K15" s="4" t="s">
        <v>164</v>
      </c>
      <c r="L15" s="4" t="s">
        <v>165</v>
      </c>
      <c r="M15" s="4">
        <v>0</v>
      </c>
      <c r="N15" s="8" t="str">
        <f t="shared" ca="1" si="0"/>
        <v>17 Tahun, 5 Bulan, 9 Hari</v>
      </c>
    </row>
    <row r="16" spans="1:14" ht="18" customHeight="1" x14ac:dyDescent="0.25">
      <c r="A16" s="1">
        <v>15</v>
      </c>
      <c r="B16" s="1">
        <v>1029</v>
      </c>
      <c r="C16" s="4"/>
      <c r="D16" s="1" t="s">
        <v>118</v>
      </c>
      <c r="E16" s="1" t="s">
        <v>17</v>
      </c>
      <c r="F16" s="4">
        <v>1580</v>
      </c>
      <c r="G16" s="4" t="s">
        <v>186</v>
      </c>
      <c r="H16" s="2" t="s">
        <v>14</v>
      </c>
      <c r="I16" s="7" t="s">
        <v>187</v>
      </c>
      <c r="J16" s="1" t="s">
        <v>19</v>
      </c>
      <c r="K16" s="4" t="s">
        <v>188</v>
      </c>
      <c r="L16" s="4" t="s">
        <v>189</v>
      </c>
      <c r="M16" s="4" t="s">
        <v>190</v>
      </c>
      <c r="N16" s="8" t="str">
        <f t="shared" ca="1" si="0"/>
        <v>17 Tahun, 6 Bulan, 25 Hari</v>
      </c>
    </row>
    <row r="17" spans="1:14" ht="18" customHeight="1" x14ac:dyDescent="0.25">
      <c r="A17" s="1">
        <v>16</v>
      </c>
      <c r="B17" s="1">
        <v>783</v>
      </c>
      <c r="C17" s="4"/>
      <c r="D17" s="1" t="s">
        <v>123</v>
      </c>
      <c r="E17" s="1" t="s">
        <v>9</v>
      </c>
      <c r="F17" s="4">
        <v>3183</v>
      </c>
      <c r="G17" s="4" t="s">
        <v>191</v>
      </c>
      <c r="H17" s="2" t="s">
        <v>14</v>
      </c>
      <c r="I17" s="7">
        <v>38995</v>
      </c>
      <c r="J17" s="1" t="s">
        <v>19</v>
      </c>
      <c r="K17" s="4" t="s">
        <v>184</v>
      </c>
      <c r="L17" s="4" t="s">
        <v>192</v>
      </c>
      <c r="M17" s="4">
        <v>0</v>
      </c>
      <c r="N17" s="8" t="str">
        <f t="shared" ca="1" si="0"/>
        <v>18 Tahun, 2 Bulan, 16 Hari</v>
      </c>
    </row>
    <row r="18" spans="1:14" ht="18" customHeight="1" x14ac:dyDescent="0.25">
      <c r="A18" s="1">
        <v>17</v>
      </c>
      <c r="B18" s="1">
        <v>1028</v>
      </c>
      <c r="C18" s="4"/>
      <c r="D18" s="1" t="s">
        <v>118</v>
      </c>
      <c r="E18" s="1" t="s">
        <v>17</v>
      </c>
      <c r="F18" s="4">
        <v>1577</v>
      </c>
      <c r="G18" s="4" t="s">
        <v>200</v>
      </c>
      <c r="H18" s="2" t="s">
        <v>14</v>
      </c>
      <c r="I18" s="7" t="s">
        <v>201</v>
      </c>
      <c r="J18" s="1" t="s">
        <v>20</v>
      </c>
      <c r="K18" s="4" t="s">
        <v>202</v>
      </c>
      <c r="L18" s="4" t="s">
        <v>203</v>
      </c>
      <c r="M18" s="4" t="s">
        <v>204</v>
      </c>
      <c r="N18" s="8" t="str">
        <f t="shared" ca="1" si="0"/>
        <v>21 Tahun, 3 Bulan, 10 Hari</v>
      </c>
    </row>
    <row r="19" spans="1:14" ht="18" customHeight="1" x14ac:dyDescent="0.25">
      <c r="A19" s="1">
        <v>18</v>
      </c>
      <c r="B19" s="1">
        <v>886</v>
      </c>
      <c r="C19" s="4"/>
      <c r="D19" s="1">
        <v>1</v>
      </c>
      <c r="E19" s="1" t="s">
        <v>17</v>
      </c>
      <c r="F19" s="4">
        <v>2454</v>
      </c>
      <c r="G19" s="4" t="s">
        <v>207</v>
      </c>
      <c r="H19" s="2" t="s">
        <v>14</v>
      </c>
      <c r="I19" s="7" t="s">
        <v>208</v>
      </c>
      <c r="J19" s="1" t="s">
        <v>21</v>
      </c>
      <c r="K19" s="4" t="s">
        <v>209</v>
      </c>
      <c r="L19" s="4">
        <v>0</v>
      </c>
      <c r="M19" s="4">
        <v>0</v>
      </c>
      <c r="N19" s="8" t="str">
        <f t="shared" ca="1" si="0"/>
        <v>18 Tahun, 0 Bulan, 12 Hari</v>
      </c>
    </row>
    <row r="20" spans="1:14" ht="18" customHeight="1" x14ac:dyDescent="0.25">
      <c r="A20" s="1">
        <v>19</v>
      </c>
      <c r="B20" s="1">
        <v>1022</v>
      </c>
      <c r="C20" s="4"/>
      <c r="D20" s="1" t="s">
        <v>118</v>
      </c>
      <c r="E20" s="1" t="s">
        <v>17</v>
      </c>
      <c r="F20" s="4">
        <v>1565</v>
      </c>
      <c r="G20" s="4" t="s">
        <v>210</v>
      </c>
      <c r="H20" s="2" t="s">
        <v>14</v>
      </c>
      <c r="I20" s="7" t="s">
        <v>211</v>
      </c>
      <c r="J20" s="1" t="s">
        <v>21</v>
      </c>
      <c r="K20" s="4" t="s">
        <v>212</v>
      </c>
      <c r="L20" s="4" t="s">
        <v>213</v>
      </c>
      <c r="M20" s="4" t="s">
        <v>214</v>
      </c>
      <c r="N20" s="8" t="str">
        <f t="shared" ca="1" si="0"/>
        <v>17 Tahun, 5 Bulan, 2 Hari</v>
      </c>
    </row>
    <row r="21" spans="1:14" ht="18" customHeight="1" x14ac:dyDescent="0.25">
      <c r="A21" s="1">
        <v>20</v>
      </c>
      <c r="B21" s="1">
        <v>896</v>
      </c>
      <c r="C21" s="4"/>
      <c r="D21" s="1">
        <v>1</v>
      </c>
      <c r="E21" s="1" t="s">
        <v>17</v>
      </c>
      <c r="F21" s="4">
        <v>2515</v>
      </c>
      <c r="G21" s="4" t="s">
        <v>220</v>
      </c>
      <c r="H21" s="2" t="s">
        <v>14</v>
      </c>
      <c r="I21" s="7" t="s">
        <v>221</v>
      </c>
      <c r="J21" s="1" t="s">
        <v>21</v>
      </c>
      <c r="K21" s="4" t="s">
        <v>222</v>
      </c>
      <c r="L21" s="4" t="s">
        <v>223</v>
      </c>
      <c r="M21" s="4" t="s">
        <v>224</v>
      </c>
      <c r="N21" s="8" t="str">
        <f t="shared" ca="1" si="0"/>
        <v>18 Tahun, 1 Bulan, 10 Hari</v>
      </c>
    </row>
    <row r="22" spans="1:14" ht="18" customHeight="1" x14ac:dyDescent="0.25">
      <c r="A22" s="1">
        <v>21</v>
      </c>
      <c r="B22" s="1">
        <v>1002</v>
      </c>
      <c r="C22" s="4"/>
      <c r="D22" s="1">
        <v>1</v>
      </c>
      <c r="E22" s="1" t="s">
        <v>17</v>
      </c>
      <c r="F22" s="4">
        <v>2430</v>
      </c>
      <c r="G22" s="4" t="s">
        <v>225</v>
      </c>
      <c r="H22" s="2" t="s">
        <v>14</v>
      </c>
      <c r="I22" s="7" t="s">
        <v>226</v>
      </c>
      <c r="J22" s="1" t="s">
        <v>21</v>
      </c>
      <c r="K22" s="4" t="s">
        <v>227</v>
      </c>
      <c r="L22" s="4" t="s">
        <v>228</v>
      </c>
      <c r="M22" s="4" t="s">
        <v>229</v>
      </c>
      <c r="N22" s="8" t="str">
        <f t="shared" ca="1" si="0"/>
        <v>18 Tahun, 1 Bulan, 10 Hari</v>
      </c>
    </row>
    <row r="23" spans="1:14" ht="18" customHeight="1" x14ac:dyDescent="0.25">
      <c r="A23" s="1">
        <v>22</v>
      </c>
      <c r="B23" s="1">
        <v>1060</v>
      </c>
      <c r="C23" s="4"/>
      <c r="D23" s="1" t="s">
        <v>128</v>
      </c>
      <c r="E23" s="1" t="s">
        <v>17</v>
      </c>
      <c r="F23" s="4">
        <v>1562</v>
      </c>
      <c r="G23" s="4" t="s">
        <v>230</v>
      </c>
      <c r="H23" s="2" t="s">
        <v>14</v>
      </c>
      <c r="I23" s="7" t="s">
        <v>231</v>
      </c>
      <c r="J23" s="1" t="s">
        <v>21</v>
      </c>
      <c r="K23" s="4" t="s">
        <v>232</v>
      </c>
      <c r="L23" s="4" t="s">
        <v>233</v>
      </c>
      <c r="M23" s="4" t="s">
        <v>234</v>
      </c>
      <c r="N23" s="8" t="str">
        <f t="shared" ca="1" si="0"/>
        <v>18 Tahun, 9 Bulan, 11 Hari</v>
      </c>
    </row>
    <row r="24" spans="1:14" ht="18" customHeight="1" x14ac:dyDescent="0.25">
      <c r="A24" s="1">
        <v>23</v>
      </c>
      <c r="B24" s="1">
        <v>1055</v>
      </c>
      <c r="C24" s="4"/>
      <c r="D24" s="1" t="s">
        <v>128</v>
      </c>
      <c r="E24" s="1" t="s">
        <v>17</v>
      </c>
      <c r="F24" s="4">
        <v>1550</v>
      </c>
      <c r="G24" s="4" t="s">
        <v>235</v>
      </c>
      <c r="H24" s="2" t="s">
        <v>14</v>
      </c>
      <c r="I24" s="7" t="s">
        <v>236</v>
      </c>
      <c r="J24" s="1" t="s">
        <v>21</v>
      </c>
      <c r="K24" s="4" t="s">
        <v>237</v>
      </c>
      <c r="L24" s="4" t="s">
        <v>238</v>
      </c>
      <c r="M24" s="4" t="s">
        <v>239</v>
      </c>
      <c r="N24" s="8" t="str">
        <f t="shared" ca="1" si="0"/>
        <v>23 Tahun, 11 Bulan, 17 Hari</v>
      </c>
    </row>
    <row r="25" spans="1:14" ht="18" customHeight="1" x14ac:dyDescent="0.25">
      <c r="A25" s="1">
        <v>24</v>
      </c>
      <c r="B25" s="1">
        <v>887</v>
      </c>
      <c r="C25" s="4"/>
      <c r="D25" s="1">
        <v>1</v>
      </c>
      <c r="E25" s="1" t="s">
        <v>17</v>
      </c>
      <c r="F25" s="4">
        <v>2455</v>
      </c>
      <c r="G25" s="4" t="s">
        <v>215</v>
      </c>
      <c r="H25" s="2" t="s">
        <v>75</v>
      </c>
      <c r="I25" s="7" t="s">
        <v>216</v>
      </c>
      <c r="J25" s="1" t="s">
        <v>21</v>
      </c>
      <c r="K25" s="4" t="s">
        <v>217</v>
      </c>
      <c r="L25" s="4" t="s">
        <v>218</v>
      </c>
      <c r="M25" s="4" t="s">
        <v>219</v>
      </c>
      <c r="N25" s="8" t="str">
        <f t="shared" ca="1" si="0"/>
        <v>17 Tahun, 7 Bulan, 25 Hari</v>
      </c>
    </row>
    <row r="26" spans="1:14" ht="18" customHeight="1" x14ac:dyDescent="0.25">
      <c r="A26" s="1">
        <v>25</v>
      </c>
      <c r="B26" s="1">
        <v>921</v>
      </c>
      <c r="C26" s="4"/>
      <c r="D26" s="1">
        <v>1</v>
      </c>
      <c r="E26" s="1" t="s">
        <v>17</v>
      </c>
      <c r="F26" s="4">
        <v>2429</v>
      </c>
      <c r="G26" s="4" t="s">
        <v>94</v>
      </c>
      <c r="H26" s="2" t="s">
        <v>75</v>
      </c>
      <c r="I26" s="7" t="s">
        <v>247</v>
      </c>
      <c r="J26" s="1" t="s">
        <v>22</v>
      </c>
      <c r="K26" s="4" t="s">
        <v>248</v>
      </c>
      <c r="L26" s="4" t="s">
        <v>249</v>
      </c>
      <c r="M26" s="4" t="s">
        <v>250</v>
      </c>
      <c r="N26" s="8" t="str">
        <f t="shared" ca="1" si="0"/>
        <v>18 Tahun, 0 Bulan, 19 Hari</v>
      </c>
    </row>
    <row r="27" spans="1:14" ht="18" customHeight="1" x14ac:dyDescent="0.25">
      <c r="A27" s="1">
        <v>26</v>
      </c>
      <c r="B27" s="1">
        <v>892</v>
      </c>
      <c r="C27" s="4"/>
      <c r="D27" s="1">
        <v>1</v>
      </c>
      <c r="E27" s="1" t="s">
        <v>17</v>
      </c>
      <c r="F27" s="4">
        <v>2512</v>
      </c>
      <c r="G27" s="4" t="s">
        <v>251</v>
      </c>
      <c r="H27" s="2" t="s">
        <v>75</v>
      </c>
      <c r="I27" s="7" t="s">
        <v>252</v>
      </c>
      <c r="J27" s="1" t="s">
        <v>22</v>
      </c>
      <c r="K27" s="4" t="s">
        <v>248</v>
      </c>
      <c r="L27" s="4" t="s">
        <v>253</v>
      </c>
      <c r="M27" s="4">
        <v>0</v>
      </c>
      <c r="N27" s="8" t="str">
        <f t="shared" ca="1" si="0"/>
        <v>17 Tahun, 3 Bulan, 3 Hari</v>
      </c>
    </row>
    <row r="28" spans="1:14" ht="18" customHeight="1" x14ac:dyDescent="0.25">
      <c r="A28" s="1">
        <v>27</v>
      </c>
      <c r="B28" s="1">
        <v>933</v>
      </c>
      <c r="C28" s="4"/>
      <c r="D28" s="1">
        <v>1</v>
      </c>
      <c r="E28" s="1" t="s">
        <v>17</v>
      </c>
      <c r="F28" s="4">
        <v>2513</v>
      </c>
      <c r="G28" s="4" t="s">
        <v>258</v>
      </c>
      <c r="H28" s="2" t="s">
        <v>75</v>
      </c>
      <c r="I28" s="7" t="s">
        <v>259</v>
      </c>
      <c r="J28" s="1" t="s">
        <v>22</v>
      </c>
      <c r="K28" s="4" t="s">
        <v>260</v>
      </c>
      <c r="L28" s="4" t="s">
        <v>261</v>
      </c>
      <c r="M28" s="4">
        <v>0</v>
      </c>
      <c r="N28" s="8" t="str">
        <f t="shared" ca="1" si="0"/>
        <v>17 Tahun, 6 Bulan, 16 Hari</v>
      </c>
    </row>
    <row r="29" spans="1:14" ht="18" customHeight="1" x14ac:dyDescent="0.25">
      <c r="A29" s="1">
        <v>28</v>
      </c>
      <c r="B29" s="1">
        <v>888</v>
      </c>
      <c r="C29" s="4"/>
      <c r="D29" s="1">
        <v>1</v>
      </c>
      <c r="E29" s="1" t="s">
        <v>17</v>
      </c>
      <c r="F29" s="4">
        <v>2510</v>
      </c>
      <c r="G29" s="4" t="s">
        <v>271</v>
      </c>
      <c r="H29" s="2" t="s">
        <v>75</v>
      </c>
      <c r="I29" s="7" t="s">
        <v>272</v>
      </c>
      <c r="J29" s="1" t="s">
        <v>22</v>
      </c>
      <c r="K29" s="4" t="s">
        <v>248</v>
      </c>
      <c r="L29" s="4" t="s">
        <v>273</v>
      </c>
      <c r="M29" s="4" t="s">
        <v>274</v>
      </c>
      <c r="N29" s="8" t="str">
        <f t="shared" ca="1" si="0"/>
        <v>19 Tahun, 7 Bulan, 16 Hari</v>
      </c>
    </row>
    <row r="30" spans="1:14" ht="18" customHeight="1" x14ac:dyDescent="0.25">
      <c r="A30" s="1">
        <v>29</v>
      </c>
      <c r="B30" s="1">
        <v>537</v>
      </c>
      <c r="C30" s="4" t="s">
        <v>117</v>
      </c>
      <c r="D30" s="1" t="s">
        <v>206</v>
      </c>
      <c r="E30" s="1" t="s">
        <v>9</v>
      </c>
      <c r="F30" s="4">
        <v>3693</v>
      </c>
      <c r="G30" s="4" t="s">
        <v>254</v>
      </c>
      <c r="H30" s="2" t="s">
        <v>75</v>
      </c>
      <c r="I30" s="7" t="s">
        <v>255</v>
      </c>
      <c r="J30" s="1" t="s">
        <v>22</v>
      </c>
      <c r="K30" s="4" t="s">
        <v>256</v>
      </c>
      <c r="L30" s="4" t="s">
        <v>241</v>
      </c>
      <c r="M30" s="4" t="s">
        <v>257</v>
      </c>
      <c r="N30" s="8" t="str">
        <f t="shared" ca="1" si="0"/>
        <v>17 Tahun, 5 Bulan, 12 Hari</v>
      </c>
    </row>
    <row r="31" spans="1:14" ht="18" customHeight="1" x14ac:dyDescent="0.25">
      <c r="A31" s="1">
        <v>30</v>
      </c>
      <c r="B31" s="1">
        <v>710</v>
      </c>
      <c r="C31" s="4" t="s">
        <v>266</v>
      </c>
      <c r="D31" s="1" t="s">
        <v>166</v>
      </c>
      <c r="E31" s="1" t="s">
        <v>9</v>
      </c>
      <c r="F31" s="4">
        <v>3339</v>
      </c>
      <c r="G31" s="4" t="s">
        <v>267</v>
      </c>
      <c r="H31" s="2" t="s">
        <v>75</v>
      </c>
      <c r="I31" s="7">
        <v>38732</v>
      </c>
      <c r="J31" s="1" t="s">
        <v>22</v>
      </c>
      <c r="K31" s="4" t="s">
        <v>268</v>
      </c>
      <c r="L31" s="4" t="s">
        <v>269</v>
      </c>
      <c r="M31" s="4" t="s">
        <v>270</v>
      </c>
      <c r="N31" s="8" t="str">
        <f t="shared" ca="1" si="0"/>
        <v>18 Tahun, 11 Bulan, 6 Hari</v>
      </c>
    </row>
    <row r="32" spans="1:14" ht="18" customHeight="1" x14ac:dyDescent="0.25">
      <c r="A32" s="1">
        <v>31</v>
      </c>
      <c r="B32" s="1">
        <v>214</v>
      </c>
      <c r="C32" s="4">
        <v>0</v>
      </c>
      <c r="D32" s="1" t="s">
        <v>246</v>
      </c>
      <c r="E32" s="1" t="s">
        <v>15</v>
      </c>
      <c r="F32" s="4">
        <v>3016</v>
      </c>
      <c r="G32" s="4" t="s">
        <v>297</v>
      </c>
      <c r="H32" s="2" t="s">
        <v>149</v>
      </c>
      <c r="I32" s="7">
        <v>39017</v>
      </c>
      <c r="J32" s="1" t="s">
        <v>24</v>
      </c>
      <c r="K32" s="4" t="s">
        <v>298</v>
      </c>
      <c r="L32" s="4" t="s">
        <v>299</v>
      </c>
      <c r="M32" s="4" t="s">
        <v>300</v>
      </c>
      <c r="N32" s="8" t="str">
        <f t="shared" ca="1" si="0"/>
        <v>18 Tahun, 1 Bulan, 24 Hari</v>
      </c>
    </row>
    <row r="33" spans="1:14" ht="18" customHeight="1" x14ac:dyDescent="0.25">
      <c r="A33" s="1">
        <v>32</v>
      </c>
      <c r="B33" s="1">
        <v>1032</v>
      </c>
      <c r="C33" s="4"/>
      <c r="D33" s="1" t="s">
        <v>118</v>
      </c>
      <c r="E33" s="1" t="s">
        <v>17</v>
      </c>
      <c r="F33" s="4">
        <v>1590</v>
      </c>
      <c r="G33" s="4" t="s">
        <v>275</v>
      </c>
      <c r="H33" s="2">
        <v>0</v>
      </c>
      <c r="I33" s="7">
        <v>0</v>
      </c>
      <c r="J33" s="1" t="s">
        <v>24</v>
      </c>
      <c r="K33" s="4" t="s">
        <v>276</v>
      </c>
      <c r="L33" s="4">
        <v>0</v>
      </c>
      <c r="M33" s="4">
        <v>0</v>
      </c>
      <c r="N33" s="8" t="str">
        <f t="shared" ca="1" si="0"/>
        <v>124 Tahun, 11 Bulan, 21 Hari</v>
      </c>
    </row>
    <row r="34" spans="1:14" ht="18" customHeight="1" x14ac:dyDescent="0.25">
      <c r="A34" s="1">
        <v>33</v>
      </c>
      <c r="B34" s="1">
        <v>1034</v>
      </c>
      <c r="C34" s="4"/>
      <c r="D34" s="1" t="s">
        <v>118</v>
      </c>
      <c r="E34" s="1" t="s">
        <v>17</v>
      </c>
      <c r="F34" s="4">
        <v>1594</v>
      </c>
      <c r="G34" s="4" t="s">
        <v>309</v>
      </c>
      <c r="H34" s="2" t="s">
        <v>14</v>
      </c>
      <c r="I34" s="7" t="s">
        <v>310</v>
      </c>
      <c r="J34" s="1" t="s">
        <v>24</v>
      </c>
      <c r="K34" s="4" t="s">
        <v>311</v>
      </c>
      <c r="L34" s="4" t="s">
        <v>312</v>
      </c>
      <c r="M34" s="4" t="s">
        <v>313</v>
      </c>
      <c r="N34" s="8" t="str">
        <f t="shared" ca="1" si="0"/>
        <v>19 Tahun, 1 Bulan, 25 Hari</v>
      </c>
    </row>
    <row r="35" spans="1:14" ht="18" customHeight="1" x14ac:dyDescent="0.25">
      <c r="A35" s="1">
        <v>34</v>
      </c>
      <c r="B35" s="1">
        <v>1019</v>
      </c>
      <c r="C35" s="4"/>
      <c r="D35" s="1" t="s">
        <v>118</v>
      </c>
      <c r="E35" s="1" t="s">
        <v>17</v>
      </c>
      <c r="F35" s="4">
        <v>1552</v>
      </c>
      <c r="G35" s="4" t="s">
        <v>326</v>
      </c>
      <c r="H35" s="2" t="s">
        <v>14</v>
      </c>
      <c r="I35" s="7" t="s">
        <v>327</v>
      </c>
      <c r="J35" s="1" t="s">
        <v>24</v>
      </c>
      <c r="K35" s="4" t="s">
        <v>328</v>
      </c>
      <c r="L35" s="4" t="s">
        <v>304</v>
      </c>
      <c r="M35" s="4" t="s">
        <v>329</v>
      </c>
      <c r="N35" s="8" t="str">
        <f t="shared" ca="1" si="0"/>
        <v>19 Tahun, 8 Bulan, 4 Hari</v>
      </c>
    </row>
    <row r="36" spans="1:14" ht="18" customHeight="1" x14ac:dyDescent="0.25">
      <c r="A36" s="1">
        <v>35</v>
      </c>
      <c r="B36" s="1">
        <v>906</v>
      </c>
      <c r="C36" s="4"/>
      <c r="D36" s="1">
        <v>1</v>
      </c>
      <c r="E36" s="1" t="s">
        <v>17</v>
      </c>
      <c r="F36" s="4">
        <v>2912</v>
      </c>
      <c r="G36" s="4" t="s">
        <v>306</v>
      </c>
      <c r="H36" s="2" t="s">
        <v>75</v>
      </c>
      <c r="I36" s="7">
        <v>38770</v>
      </c>
      <c r="J36" s="1" t="s">
        <v>24</v>
      </c>
      <c r="K36" s="4" t="s">
        <v>217</v>
      </c>
      <c r="L36" s="4" t="s">
        <v>307</v>
      </c>
      <c r="M36" s="4" t="s">
        <v>308</v>
      </c>
      <c r="N36" s="8" t="str">
        <f t="shared" ca="1" si="0"/>
        <v>18 Tahun, 9 Bulan, 29 Hari</v>
      </c>
    </row>
    <row r="37" spans="1:14" ht="18" customHeight="1" x14ac:dyDescent="0.25">
      <c r="A37" s="1">
        <v>36</v>
      </c>
      <c r="B37" s="1">
        <v>794</v>
      </c>
      <c r="C37" s="4"/>
      <c r="D37" s="1" t="s">
        <v>123</v>
      </c>
      <c r="E37" s="1" t="s">
        <v>9</v>
      </c>
      <c r="F37" s="4">
        <v>3180</v>
      </c>
      <c r="G37" s="4" t="s">
        <v>285</v>
      </c>
      <c r="H37" s="2" t="s">
        <v>14</v>
      </c>
      <c r="I37" s="7">
        <v>39188</v>
      </c>
      <c r="J37" s="1" t="s">
        <v>24</v>
      </c>
      <c r="K37" s="4" t="s">
        <v>286</v>
      </c>
      <c r="L37" s="4" t="s">
        <v>287</v>
      </c>
      <c r="M37" s="4" t="s">
        <v>288</v>
      </c>
      <c r="N37" s="8" t="str">
        <f t="shared" ca="1" si="0"/>
        <v>17 Tahun, 8 Bulan, 5 Hari</v>
      </c>
    </row>
    <row r="38" spans="1:14" ht="18" customHeight="1" x14ac:dyDescent="0.25">
      <c r="A38" s="1">
        <v>37</v>
      </c>
      <c r="B38" s="1">
        <v>617</v>
      </c>
      <c r="C38" s="4" t="s">
        <v>117</v>
      </c>
      <c r="D38" s="1" t="s">
        <v>145</v>
      </c>
      <c r="E38" s="1" t="s">
        <v>9</v>
      </c>
      <c r="F38" s="4">
        <v>3747</v>
      </c>
      <c r="G38" s="4" t="s">
        <v>94</v>
      </c>
      <c r="H38" s="2" t="s">
        <v>14</v>
      </c>
      <c r="I38" s="7" t="s">
        <v>289</v>
      </c>
      <c r="J38" s="1" t="s">
        <v>24</v>
      </c>
      <c r="K38" s="4" t="s">
        <v>290</v>
      </c>
      <c r="L38" s="4" t="s">
        <v>291</v>
      </c>
      <c r="M38" s="4" t="s">
        <v>292</v>
      </c>
      <c r="N38" s="8" t="str">
        <f t="shared" ca="1" si="0"/>
        <v>17 Tahun, 8 Bulan, 28 Hari</v>
      </c>
    </row>
    <row r="39" spans="1:14" ht="18" customHeight="1" x14ac:dyDescent="0.25">
      <c r="A39" s="1">
        <v>38</v>
      </c>
      <c r="B39" s="1">
        <v>808</v>
      </c>
      <c r="C39" s="4"/>
      <c r="D39" s="1" t="s">
        <v>123</v>
      </c>
      <c r="E39" s="1" t="s">
        <v>9</v>
      </c>
      <c r="F39" s="4">
        <v>3178</v>
      </c>
      <c r="G39" s="4" t="s">
        <v>293</v>
      </c>
      <c r="H39" s="2" t="s">
        <v>14</v>
      </c>
      <c r="I39" s="7">
        <v>39151</v>
      </c>
      <c r="J39" s="1" t="s">
        <v>24</v>
      </c>
      <c r="K39" s="4" t="s">
        <v>294</v>
      </c>
      <c r="L39" s="4" t="s">
        <v>295</v>
      </c>
      <c r="M39" s="4" t="s">
        <v>296</v>
      </c>
      <c r="N39" s="8" t="str">
        <f t="shared" ca="1" si="0"/>
        <v>17 Tahun, 9 Bulan, 11 Hari</v>
      </c>
    </row>
    <row r="40" spans="1:14" ht="18" customHeight="1" x14ac:dyDescent="0.25">
      <c r="A40" s="1">
        <v>39</v>
      </c>
      <c r="B40" s="1">
        <v>870</v>
      </c>
      <c r="C40" s="4" t="s">
        <v>144</v>
      </c>
      <c r="D40" s="1" t="s">
        <v>91</v>
      </c>
      <c r="E40" s="1" t="s">
        <v>9</v>
      </c>
      <c r="F40" s="4">
        <v>2756</v>
      </c>
      <c r="G40" s="4" t="s">
        <v>301</v>
      </c>
      <c r="H40" s="2" t="s">
        <v>14</v>
      </c>
      <c r="I40" s="7" t="s">
        <v>302</v>
      </c>
      <c r="J40" s="1" t="s">
        <v>24</v>
      </c>
      <c r="K40" s="4" t="s">
        <v>303</v>
      </c>
      <c r="L40" s="4" t="s">
        <v>304</v>
      </c>
      <c r="M40" s="4" t="s">
        <v>305</v>
      </c>
      <c r="N40" s="8" t="str">
        <f t="shared" ca="1" si="0"/>
        <v>18 Tahun, 4 Bulan, 7 Hari</v>
      </c>
    </row>
    <row r="41" spans="1:14" ht="18" customHeight="1" x14ac:dyDescent="0.25">
      <c r="A41" s="1">
        <v>40</v>
      </c>
      <c r="B41" s="1">
        <v>863</v>
      </c>
      <c r="C41" s="4" t="s">
        <v>144</v>
      </c>
      <c r="D41" s="1" t="s">
        <v>91</v>
      </c>
      <c r="E41" s="1" t="s">
        <v>9</v>
      </c>
      <c r="F41" s="4">
        <v>2865</v>
      </c>
      <c r="G41" s="4" t="s">
        <v>322</v>
      </c>
      <c r="H41" s="2" t="s">
        <v>14</v>
      </c>
      <c r="I41" s="7">
        <v>38487</v>
      </c>
      <c r="J41" s="1" t="s">
        <v>24</v>
      </c>
      <c r="K41" s="4" t="s">
        <v>323</v>
      </c>
      <c r="L41" s="4" t="s">
        <v>324</v>
      </c>
      <c r="M41" s="4" t="s">
        <v>325</v>
      </c>
      <c r="N41" s="8" t="str">
        <f t="shared" ca="1" si="0"/>
        <v>19 Tahun, 7 Bulan, 6 Hari</v>
      </c>
    </row>
    <row r="42" spans="1:14" ht="18" customHeight="1" x14ac:dyDescent="0.25">
      <c r="A42" s="1">
        <v>41</v>
      </c>
      <c r="B42" s="1">
        <v>754</v>
      </c>
      <c r="C42" s="4">
        <v>0</v>
      </c>
      <c r="D42" s="1" t="s">
        <v>153</v>
      </c>
      <c r="E42" s="1" t="s">
        <v>9</v>
      </c>
      <c r="F42" s="4">
        <v>2873</v>
      </c>
      <c r="G42" s="4" t="s">
        <v>330</v>
      </c>
      <c r="H42" s="2" t="s">
        <v>14</v>
      </c>
      <c r="I42" s="7">
        <v>38160</v>
      </c>
      <c r="J42" s="1" t="s">
        <v>24</v>
      </c>
      <c r="K42" s="4" t="s">
        <v>331</v>
      </c>
      <c r="L42" s="4" t="s">
        <v>332</v>
      </c>
      <c r="M42" s="4" t="s">
        <v>333</v>
      </c>
      <c r="N42" s="8" t="str">
        <f t="shared" ca="1" si="0"/>
        <v>20 Tahun, 5 Bulan, 29 Hari</v>
      </c>
    </row>
    <row r="43" spans="1:14" ht="18" customHeight="1" x14ac:dyDescent="0.25">
      <c r="A43" s="1">
        <v>42</v>
      </c>
      <c r="B43" s="1">
        <v>744</v>
      </c>
      <c r="C43" s="4"/>
      <c r="D43" s="1" t="s">
        <v>152</v>
      </c>
      <c r="E43" s="1" t="s">
        <v>9</v>
      </c>
      <c r="F43" s="4">
        <v>3345</v>
      </c>
      <c r="G43" s="4" t="s">
        <v>281</v>
      </c>
      <c r="H43" s="2" t="s">
        <v>103</v>
      </c>
      <c r="I43" s="7">
        <v>39346</v>
      </c>
      <c r="J43" s="1" t="s">
        <v>24</v>
      </c>
      <c r="K43" s="4" t="s">
        <v>282</v>
      </c>
      <c r="L43" s="4" t="s">
        <v>283</v>
      </c>
      <c r="M43" s="4" t="s">
        <v>284</v>
      </c>
      <c r="N43" s="8" t="str">
        <f t="shared" ca="1" si="0"/>
        <v>17 Tahun, 3 Bulan, 0 Hari</v>
      </c>
    </row>
    <row r="44" spans="1:14" ht="18" customHeight="1" x14ac:dyDescent="0.25">
      <c r="A44" s="1">
        <v>43</v>
      </c>
      <c r="B44" s="1">
        <v>218</v>
      </c>
      <c r="C44" s="4">
        <v>0</v>
      </c>
      <c r="D44" s="1" t="s">
        <v>246</v>
      </c>
      <c r="E44" s="1" t="s">
        <v>15</v>
      </c>
      <c r="F44" s="4">
        <v>3915</v>
      </c>
      <c r="G44" s="4" t="s">
        <v>146</v>
      </c>
      <c r="H44" s="2" t="s">
        <v>149</v>
      </c>
      <c r="I44" s="7">
        <v>39124</v>
      </c>
      <c r="J44" s="1" t="s">
        <v>27</v>
      </c>
      <c r="K44" s="4" t="s">
        <v>339</v>
      </c>
      <c r="L44" s="4" t="s">
        <v>181</v>
      </c>
      <c r="M44" s="4" t="s">
        <v>195</v>
      </c>
      <c r="N44" s="8" t="str">
        <f t="shared" ca="1" si="0"/>
        <v>17 Tahun, 10 Bulan, 10 Hari</v>
      </c>
    </row>
    <row r="45" spans="1:14" ht="18" customHeight="1" x14ac:dyDescent="0.25">
      <c r="A45" s="1">
        <v>44</v>
      </c>
      <c r="B45" s="1">
        <v>1092</v>
      </c>
      <c r="C45" s="4"/>
      <c r="D45" s="1" t="s">
        <v>166</v>
      </c>
      <c r="E45" s="1" t="s">
        <v>17</v>
      </c>
      <c r="F45" s="4">
        <v>1547</v>
      </c>
      <c r="G45" s="4" t="s">
        <v>334</v>
      </c>
      <c r="H45" s="2" t="s">
        <v>14</v>
      </c>
      <c r="I45" s="7">
        <v>0</v>
      </c>
      <c r="J45" s="1" t="s">
        <v>27</v>
      </c>
      <c r="K45" s="4" t="s">
        <v>335</v>
      </c>
      <c r="L45" s="4" t="s">
        <v>336</v>
      </c>
      <c r="M45" s="4" t="s">
        <v>337</v>
      </c>
      <c r="N45" s="8" t="str">
        <f t="shared" ca="1" si="0"/>
        <v>124 Tahun, 11 Bulan, 21 Hari</v>
      </c>
    </row>
    <row r="46" spans="1:14" ht="18" customHeight="1" x14ac:dyDescent="0.25">
      <c r="A46" s="1">
        <v>45</v>
      </c>
      <c r="B46" s="1">
        <v>613</v>
      </c>
      <c r="C46" s="4" t="s">
        <v>144</v>
      </c>
      <c r="D46" s="1" t="s">
        <v>145</v>
      </c>
      <c r="E46" s="1" t="s">
        <v>9</v>
      </c>
      <c r="F46" s="4">
        <v>3337</v>
      </c>
      <c r="G46" s="4" t="s">
        <v>340</v>
      </c>
      <c r="H46" s="2" t="s">
        <v>14</v>
      </c>
      <c r="I46" s="7">
        <v>38958</v>
      </c>
      <c r="J46" s="1" t="s">
        <v>27</v>
      </c>
      <c r="K46" s="4" t="s">
        <v>341</v>
      </c>
      <c r="L46" s="4" t="s">
        <v>342</v>
      </c>
      <c r="M46" s="4" t="s">
        <v>343</v>
      </c>
      <c r="N46" s="8" t="str">
        <f t="shared" ca="1" si="0"/>
        <v>18 Tahun, 3 Bulan, 22 Hari</v>
      </c>
    </row>
    <row r="47" spans="1:14" ht="18" customHeight="1" x14ac:dyDescent="0.25">
      <c r="A47" s="1">
        <v>46</v>
      </c>
      <c r="B47" s="1">
        <v>1111</v>
      </c>
      <c r="C47" s="4"/>
      <c r="D47" s="1" t="s">
        <v>166</v>
      </c>
      <c r="E47" s="1" t="s">
        <v>17</v>
      </c>
      <c r="F47" s="4">
        <v>1602</v>
      </c>
      <c r="G47" s="4" t="s">
        <v>344</v>
      </c>
      <c r="H47" s="2" t="s">
        <v>14</v>
      </c>
      <c r="I47" s="7" t="s">
        <v>345</v>
      </c>
      <c r="J47" s="1" t="s">
        <v>28</v>
      </c>
      <c r="K47" s="4" t="s">
        <v>346</v>
      </c>
      <c r="L47" s="4" t="s">
        <v>347</v>
      </c>
      <c r="M47" s="4" t="s">
        <v>348</v>
      </c>
      <c r="N47" s="8" t="str">
        <f t="shared" ca="1" si="0"/>
        <v>17 Tahun, 11 Bulan, 20 Hari</v>
      </c>
    </row>
    <row r="48" spans="1:14" ht="18" customHeight="1" x14ac:dyDescent="0.25">
      <c r="A48" s="1">
        <v>47</v>
      </c>
      <c r="B48" s="1">
        <v>919</v>
      </c>
      <c r="C48" s="4"/>
      <c r="D48" s="1">
        <v>1</v>
      </c>
      <c r="E48" s="1" t="s">
        <v>17</v>
      </c>
      <c r="F48" s="4">
        <v>2491</v>
      </c>
      <c r="G48" s="4" t="s">
        <v>366</v>
      </c>
      <c r="H48" s="2" t="s">
        <v>14</v>
      </c>
      <c r="I48" s="7">
        <v>38414</v>
      </c>
      <c r="J48" s="1" t="s">
        <v>28</v>
      </c>
      <c r="K48" s="4" t="s">
        <v>367</v>
      </c>
      <c r="L48" s="4" t="s">
        <v>368</v>
      </c>
      <c r="M48" s="4" t="s">
        <v>369</v>
      </c>
      <c r="N48" s="8" t="str">
        <f t="shared" ca="1" si="0"/>
        <v>19 Tahun, 9 Bulan, 18 Hari</v>
      </c>
    </row>
    <row r="49" spans="1:14" ht="18" customHeight="1" x14ac:dyDescent="0.25">
      <c r="A49" s="1">
        <v>48</v>
      </c>
      <c r="B49" s="1">
        <v>901</v>
      </c>
      <c r="C49" s="4"/>
      <c r="D49" s="1">
        <v>1</v>
      </c>
      <c r="E49" s="1" t="s">
        <v>17</v>
      </c>
      <c r="F49" s="4">
        <v>2439</v>
      </c>
      <c r="G49" s="4" t="s">
        <v>349</v>
      </c>
      <c r="H49" s="2" t="s">
        <v>75</v>
      </c>
      <c r="I49" s="7" t="s">
        <v>350</v>
      </c>
      <c r="J49" s="1" t="s">
        <v>28</v>
      </c>
      <c r="K49" s="4" t="s">
        <v>217</v>
      </c>
      <c r="L49" s="4" t="s">
        <v>351</v>
      </c>
      <c r="M49" s="4" t="s">
        <v>182</v>
      </c>
      <c r="N49" s="8" t="str">
        <f t="shared" ca="1" si="0"/>
        <v>17 Tahun, 3 Bulan, 12 Hari</v>
      </c>
    </row>
    <row r="50" spans="1:14" ht="18" customHeight="1" x14ac:dyDescent="0.25">
      <c r="A50" s="1">
        <v>49</v>
      </c>
      <c r="B50" s="1">
        <v>1062</v>
      </c>
      <c r="C50" s="4"/>
      <c r="D50" s="1" t="s">
        <v>128</v>
      </c>
      <c r="E50" s="1" t="s">
        <v>17</v>
      </c>
      <c r="F50" s="4">
        <v>1569</v>
      </c>
      <c r="G50" s="4" t="s">
        <v>352</v>
      </c>
      <c r="H50" s="2" t="s">
        <v>75</v>
      </c>
      <c r="I50" s="7" t="s">
        <v>353</v>
      </c>
      <c r="J50" s="1" t="s">
        <v>28</v>
      </c>
      <c r="K50" s="4" t="s">
        <v>354</v>
      </c>
      <c r="L50" s="4" t="s">
        <v>355</v>
      </c>
      <c r="M50" s="4" t="s">
        <v>356</v>
      </c>
      <c r="N50" s="8" t="str">
        <f t="shared" ca="1" si="0"/>
        <v>17 Tahun, 8 Bulan, 9 Hari</v>
      </c>
    </row>
    <row r="51" spans="1:14" ht="18" customHeight="1" x14ac:dyDescent="0.25">
      <c r="A51" s="1">
        <v>50</v>
      </c>
      <c r="B51" s="1">
        <v>916</v>
      </c>
      <c r="C51" s="4"/>
      <c r="D51" s="1">
        <v>1</v>
      </c>
      <c r="E51" s="1" t="s">
        <v>17</v>
      </c>
      <c r="F51" s="4">
        <v>2527</v>
      </c>
      <c r="G51" s="4" t="s">
        <v>362</v>
      </c>
      <c r="H51" s="2" t="s">
        <v>75</v>
      </c>
      <c r="I51" s="7" t="s">
        <v>363</v>
      </c>
      <c r="J51" s="1" t="s">
        <v>28</v>
      </c>
      <c r="K51" s="4" t="s">
        <v>217</v>
      </c>
      <c r="L51" s="4" t="s">
        <v>364</v>
      </c>
      <c r="M51" s="4" t="s">
        <v>365</v>
      </c>
      <c r="N51" s="8" t="str">
        <f t="shared" ca="1" si="0"/>
        <v>19 Tahun, 2 Bulan, 18 Hari</v>
      </c>
    </row>
    <row r="52" spans="1:14" ht="18" customHeight="1" x14ac:dyDescent="0.25">
      <c r="A52" s="1">
        <v>51</v>
      </c>
      <c r="B52" s="1">
        <v>1061</v>
      </c>
      <c r="C52" s="4"/>
      <c r="D52" s="1" t="s">
        <v>128</v>
      </c>
      <c r="E52" s="1" t="s">
        <v>17</v>
      </c>
      <c r="F52" s="4">
        <v>1564</v>
      </c>
      <c r="G52" s="4" t="s">
        <v>370</v>
      </c>
      <c r="H52" s="2" t="s">
        <v>75</v>
      </c>
      <c r="I52" s="7" t="s">
        <v>371</v>
      </c>
      <c r="J52" s="1" t="s">
        <v>28</v>
      </c>
      <c r="K52" s="4" t="s">
        <v>372</v>
      </c>
      <c r="L52" s="4" t="s">
        <v>373</v>
      </c>
      <c r="M52" s="4" t="s">
        <v>374</v>
      </c>
      <c r="N52" s="8" t="str">
        <f t="shared" ca="1" si="0"/>
        <v>20 Tahun, 2 Bulan, 19 Hari</v>
      </c>
    </row>
    <row r="53" spans="1:14" ht="18" customHeight="1" x14ac:dyDescent="0.25">
      <c r="A53" s="1">
        <v>52</v>
      </c>
      <c r="B53" s="1">
        <v>1096</v>
      </c>
      <c r="C53" s="4"/>
      <c r="D53" s="1" t="s">
        <v>166</v>
      </c>
      <c r="E53" s="1" t="s">
        <v>17</v>
      </c>
      <c r="F53" s="4">
        <v>1556</v>
      </c>
      <c r="G53" s="4" t="s">
        <v>375</v>
      </c>
      <c r="H53" s="2" t="s">
        <v>75</v>
      </c>
      <c r="I53" s="7" t="s">
        <v>376</v>
      </c>
      <c r="J53" s="1" t="s">
        <v>28</v>
      </c>
      <c r="K53" s="4" t="s">
        <v>377</v>
      </c>
      <c r="L53" s="4" t="s">
        <v>378</v>
      </c>
      <c r="M53" s="4" t="s">
        <v>379</v>
      </c>
      <c r="N53" s="8" t="str">
        <f t="shared" ca="1" si="0"/>
        <v>20 Tahun, 11 Bulan, 2 Hari</v>
      </c>
    </row>
    <row r="54" spans="1:14" ht="18" customHeight="1" x14ac:dyDescent="0.25">
      <c r="A54" s="1">
        <v>53</v>
      </c>
      <c r="B54" s="1">
        <v>521</v>
      </c>
      <c r="C54" s="4"/>
      <c r="D54" s="1" t="s">
        <v>243</v>
      </c>
      <c r="E54" s="1" t="s">
        <v>9</v>
      </c>
      <c r="F54" s="4">
        <v>3665</v>
      </c>
      <c r="G54" s="4" t="s">
        <v>357</v>
      </c>
      <c r="H54" s="2" t="s">
        <v>75</v>
      </c>
      <c r="I54" s="7" t="s">
        <v>358</v>
      </c>
      <c r="J54" s="1" t="s">
        <v>28</v>
      </c>
      <c r="K54" s="4" t="s">
        <v>359</v>
      </c>
      <c r="L54" s="4" t="s">
        <v>360</v>
      </c>
      <c r="M54" s="4" t="s">
        <v>361</v>
      </c>
      <c r="N54" s="8" t="str">
        <f t="shared" ca="1" si="0"/>
        <v>18 Tahun, 7 Bulan, 6 Hari</v>
      </c>
    </row>
    <row r="55" spans="1:14" ht="18" customHeight="1" x14ac:dyDescent="0.25">
      <c r="A55" s="1">
        <v>54</v>
      </c>
      <c r="B55" s="1">
        <v>1103</v>
      </c>
      <c r="C55" s="4"/>
      <c r="D55" s="1" t="s">
        <v>166</v>
      </c>
      <c r="E55" s="1" t="s">
        <v>17</v>
      </c>
      <c r="F55" s="4">
        <v>1563</v>
      </c>
      <c r="G55" s="4" t="s">
        <v>391</v>
      </c>
      <c r="H55" s="2" t="s">
        <v>14</v>
      </c>
      <c r="I55" s="7" t="s">
        <v>392</v>
      </c>
      <c r="J55" s="1" t="s">
        <v>29</v>
      </c>
      <c r="K55" s="4" t="s">
        <v>393</v>
      </c>
      <c r="L55" s="4" t="s">
        <v>394</v>
      </c>
      <c r="M55" s="4" t="s">
        <v>395</v>
      </c>
      <c r="N55" s="8" t="e">
        <f t="shared" ca="1" si="0"/>
        <v>#VALUE!</v>
      </c>
    </row>
    <row r="56" spans="1:14" ht="18" customHeight="1" x14ac:dyDescent="0.25">
      <c r="A56" s="1">
        <v>55</v>
      </c>
      <c r="B56" s="1">
        <v>757</v>
      </c>
      <c r="C56" s="4" t="s">
        <v>197</v>
      </c>
      <c r="D56" s="1" t="s">
        <v>153</v>
      </c>
      <c r="E56" s="1" t="s">
        <v>9</v>
      </c>
      <c r="F56" s="4">
        <v>3195</v>
      </c>
      <c r="G56" s="4" t="s">
        <v>380</v>
      </c>
      <c r="H56" s="2" t="s">
        <v>14</v>
      </c>
      <c r="I56" s="7">
        <v>0</v>
      </c>
      <c r="J56" s="1" t="s">
        <v>29</v>
      </c>
      <c r="K56" s="4" t="s">
        <v>381</v>
      </c>
      <c r="L56" s="4" t="s">
        <v>382</v>
      </c>
      <c r="M56" s="4" t="s">
        <v>185</v>
      </c>
      <c r="N56" s="8" t="str">
        <f t="shared" ca="1" si="0"/>
        <v>124 Tahun, 11 Bulan, 21 Hari</v>
      </c>
    </row>
    <row r="57" spans="1:14" ht="18" customHeight="1" x14ac:dyDescent="0.25">
      <c r="A57" s="1">
        <v>56</v>
      </c>
      <c r="B57" s="1">
        <v>1038</v>
      </c>
      <c r="C57" s="4"/>
      <c r="D57" s="1" t="s">
        <v>118</v>
      </c>
      <c r="E57" s="1" t="s">
        <v>17</v>
      </c>
      <c r="F57" s="4">
        <v>0</v>
      </c>
      <c r="G57" s="4" t="s">
        <v>396</v>
      </c>
      <c r="H57" s="2">
        <v>0</v>
      </c>
      <c r="I57" s="7">
        <v>0</v>
      </c>
      <c r="J57" s="1" t="s">
        <v>30</v>
      </c>
      <c r="K57" s="4" t="s">
        <v>276</v>
      </c>
      <c r="L57" s="4" t="s">
        <v>397</v>
      </c>
      <c r="M57" s="4" t="s">
        <v>398</v>
      </c>
      <c r="N57" s="8" t="str">
        <f t="shared" ca="1" si="0"/>
        <v>124 Tahun, 11 Bulan, 21 Hari</v>
      </c>
    </row>
    <row r="58" spans="1:14" ht="18" customHeight="1" x14ac:dyDescent="0.25">
      <c r="A58" s="1">
        <v>57</v>
      </c>
      <c r="B58" s="1">
        <v>1079</v>
      </c>
      <c r="C58" s="4"/>
      <c r="D58" s="1" t="s">
        <v>128</v>
      </c>
      <c r="E58" s="1" t="s">
        <v>17</v>
      </c>
      <c r="F58" s="4">
        <v>1614</v>
      </c>
      <c r="G58" s="4" t="s">
        <v>407</v>
      </c>
      <c r="H58" s="2" t="s">
        <v>75</v>
      </c>
      <c r="I58" s="7" t="s">
        <v>408</v>
      </c>
      <c r="J58" s="1" t="s">
        <v>30</v>
      </c>
      <c r="K58" s="4" t="s">
        <v>409</v>
      </c>
      <c r="L58" s="4" t="s">
        <v>410</v>
      </c>
      <c r="M58" s="4" t="s">
        <v>411</v>
      </c>
      <c r="N58" s="8" t="str">
        <f t="shared" ca="1" si="0"/>
        <v>21 Tahun, 1 Bulan, 7 Hari</v>
      </c>
    </row>
    <row r="59" spans="1:14" ht="18" customHeight="1" x14ac:dyDescent="0.25">
      <c r="A59" s="1">
        <v>58</v>
      </c>
      <c r="B59" s="1">
        <v>693</v>
      </c>
      <c r="C59" s="4" t="s">
        <v>112</v>
      </c>
      <c r="D59" s="1" t="s">
        <v>166</v>
      </c>
      <c r="E59" s="1" t="s">
        <v>9</v>
      </c>
      <c r="F59" s="4">
        <v>3271</v>
      </c>
      <c r="G59" s="4" t="s">
        <v>401</v>
      </c>
      <c r="H59" s="2" t="s">
        <v>75</v>
      </c>
      <c r="I59" s="7">
        <v>39085</v>
      </c>
      <c r="J59" s="1" t="s">
        <v>30</v>
      </c>
      <c r="K59" s="4" t="s">
        <v>388</v>
      </c>
      <c r="L59" s="4" t="s">
        <v>402</v>
      </c>
      <c r="M59" s="4" t="s">
        <v>403</v>
      </c>
      <c r="N59" s="8" t="str">
        <f t="shared" ca="1" si="0"/>
        <v>17 Tahun, 11 Bulan, 18 Hari</v>
      </c>
    </row>
    <row r="60" spans="1:14" ht="18" customHeight="1" x14ac:dyDescent="0.25">
      <c r="A60" s="1">
        <v>59</v>
      </c>
      <c r="B60" s="1">
        <v>679</v>
      </c>
      <c r="C60" s="4">
        <v>0</v>
      </c>
      <c r="D60" s="1" t="s">
        <v>128</v>
      </c>
      <c r="E60" s="1" t="s">
        <v>9</v>
      </c>
      <c r="F60" s="4">
        <v>3256</v>
      </c>
      <c r="G60" s="4" t="s">
        <v>404</v>
      </c>
      <c r="H60" s="2" t="s">
        <v>75</v>
      </c>
      <c r="I60" s="7">
        <v>39329</v>
      </c>
      <c r="J60" s="1" t="s">
        <v>30</v>
      </c>
      <c r="K60" s="4" t="s">
        <v>405</v>
      </c>
      <c r="L60" s="4" t="s">
        <v>406</v>
      </c>
      <c r="M60" s="4">
        <v>0</v>
      </c>
      <c r="N60" s="8" t="str">
        <f t="shared" ca="1" si="0"/>
        <v>17 Tahun, 3 Bulan, 17 Hari</v>
      </c>
    </row>
    <row r="61" spans="1:14" ht="18" customHeight="1" x14ac:dyDescent="0.25">
      <c r="A61" s="1">
        <v>60</v>
      </c>
      <c r="B61" s="1">
        <v>1003</v>
      </c>
      <c r="C61" s="4"/>
      <c r="D61" s="1">
        <v>1</v>
      </c>
      <c r="E61" s="1" t="s">
        <v>17</v>
      </c>
      <c r="F61" s="4">
        <v>2431</v>
      </c>
      <c r="G61" s="4" t="s">
        <v>418</v>
      </c>
      <c r="H61" s="2" t="s">
        <v>14</v>
      </c>
      <c r="I61" s="7" t="s">
        <v>419</v>
      </c>
      <c r="J61" s="1" t="s">
        <v>31</v>
      </c>
      <c r="K61" s="4" t="s">
        <v>414</v>
      </c>
      <c r="L61" s="4" t="s">
        <v>420</v>
      </c>
      <c r="M61" s="4" t="s">
        <v>421</v>
      </c>
      <c r="N61" s="8" t="str">
        <f t="shared" ca="1" si="0"/>
        <v>17 Tahun, 2 Bulan, 15 Hari</v>
      </c>
    </row>
    <row r="62" spans="1:14" ht="18" customHeight="1" x14ac:dyDescent="0.25">
      <c r="A62" s="1">
        <v>61</v>
      </c>
      <c r="B62" s="1">
        <v>899</v>
      </c>
      <c r="C62" s="4"/>
      <c r="D62" s="1">
        <v>1</v>
      </c>
      <c r="E62" s="1" t="s">
        <v>17</v>
      </c>
      <c r="F62" s="4">
        <v>2517</v>
      </c>
      <c r="G62" s="4" t="s">
        <v>427</v>
      </c>
      <c r="H62" s="2" t="s">
        <v>14</v>
      </c>
      <c r="I62" s="7" t="s">
        <v>428</v>
      </c>
      <c r="J62" s="1" t="s">
        <v>31</v>
      </c>
      <c r="K62" s="4" t="s">
        <v>429</v>
      </c>
      <c r="L62" s="4" t="s">
        <v>430</v>
      </c>
      <c r="M62" s="4" t="s">
        <v>389</v>
      </c>
      <c r="N62" s="8" t="str">
        <f t="shared" ca="1" si="0"/>
        <v>17 Tahun, 7 Bulan, 10 Hari</v>
      </c>
    </row>
    <row r="63" spans="1:14" ht="18" customHeight="1" x14ac:dyDescent="0.25">
      <c r="A63" s="1">
        <v>62</v>
      </c>
      <c r="B63" s="1">
        <v>860</v>
      </c>
      <c r="C63" s="4" t="s">
        <v>144</v>
      </c>
      <c r="D63" s="1" t="s">
        <v>91</v>
      </c>
      <c r="E63" s="1" t="s">
        <v>9</v>
      </c>
      <c r="F63" s="4">
        <v>3122</v>
      </c>
      <c r="G63" s="4" t="s">
        <v>422</v>
      </c>
      <c r="H63" s="2" t="s">
        <v>14</v>
      </c>
      <c r="I63" s="7" t="s">
        <v>423</v>
      </c>
      <c r="J63" s="1" t="s">
        <v>31</v>
      </c>
      <c r="K63" s="4" t="s">
        <v>424</v>
      </c>
      <c r="L63" s="4" t="s">
        <v>425</v>
      </c>
      <c r="M63" s="4" t="s">
        <v>426</v>
      </c>
      <c r="N63" s="8" t="str">
        <f t="shared" ca="1" si="0"/>
        <v>18 Tahun, 0 Bulan, 7 Hari</v>
      </c>
    </row>
    <row r="64" spans="1:14" x14ac:dyDescent="0.25">
      <c r="A64" s="1">
        <v>63</v>
      </c>
      <c r="B64" s="1">
        <v>951</v>
      </c>
      <c r="C64" s="4"/>
      <c r="D64" s="1">
        <v>1</v>
      </c>
      <c r="E64" s="1" t="s">
        <v>17</v>
      </c>
      <c r="F64" s="4">
        <v>2419</v>
      </c>
      <c r="G64" s="4" t="s">
        <v>439</v>
      </c>
      <c r="H64" s="2" t="s">
        <v>14</v>
      </c>
      <c r="I64" s="7" t="s">
        <v>440</v>
      </c>
      <c r="J64" s="1" t="s">
        <v>32</v>
      </c>
      <c r="K64" s="4" t="s">
        <v>441</v>
      </c>
      <c r="L64" s="4" t="s">
        <v>442</v>
      </c>
      <c r="M64" s="4" t="s">
        <v>443</v>
      </c>
      <c r="N64" s="8" t="str">
        <f t="shared" ca="1" si="0"/>
        <v>17 Tahun, 9 Bulan, 9 Hari</v>
      </c>
    </row>
    <row r="65" spans="1:14" x14ac:dyDescent="0.25">
      <c r="A65" s="1">
        <v>64</v>
      </c>
      <c r="B65" s="1">
        <v>1105</v>
      </c>
      <c r="C65" s="4"/>
      <c r="D65" s="1" t="s">
        <v>166</v>
      </c>
      <c r="E65" s="1" t="s">
        <v>17</v>
      </c>
      <c r="F65" s="4">
        <v>1573</v>
      </c>
      <c r="G65" s="4" t="s">
        <v>448</v>
      </c>
      <c r="H65" s="2" t="s">
        <v>14</v>
      </c>
      <c r="I65" s="7" t="s">
        <v>449</v>
      </c>
      <c r="J65" s="1" t="s">
        <v>32</v>
      </c>
      <c r="K65" s="4" t="s">
        <v>450</v>
      </c>
      <c r="L65" s="4" t="s">
        <v>451</v>
      </c>
      <c r="M65" s="4" t="s">
        <v>452</v>
      </c>
      <c r="N65" s="8" t="str">
        <f t="shared" ca="1" si="0"/>
        <v>21 Tahun, 10 Bulan, 20 Hari</v>
      </c>
    </row>
    <row r="66" spans="1:14" x14ac:dyDescent="0.25">
      <c r="A66" s="1">
        <v>65</v>
      </c>
      <c r="B66" s="1">
        <v>1086</v>
      </c>
      <c r="C66" s="4"/>
      <c r="D66" s="1" t="s">
        <v>166</v>
      </c>
      <c r="E66" s="1" t="s">
        <v>17</v>
      </c>
      <c r="F66" s="4">
        <v>1532</v>
      </c>
      <c r="G66" s="4" t="s">
        <v>453</v>
      </c>
      <c r="H66" s="2" t="s">
        <v>14</v>
      </c>
      <c r="I66" s="7" t="s">
        <v>454</v>
      </c>
      <c r="J66" s="1" t="s">
        <v>32</v>
      </c>
      <c r="K66" s="4" t="s">
        <v>455</v>
      </c>
      <c r="L66" s="4" t="s">
        <v>456</v>
      </c>
      <c r="M66" s="4" t="s">
        <v>457</v>
      </c>
      <c r="N66" s="8" t="str">
        <f t="shared" ref="N66:N129" ca="1" si="1">DATEDIF(I66,NOW(),"Y")&amp;" Tahun, "&amp;DATEDIF(I66,NOW(),"YM")&amp;" Bulan, "&amp;DATEDIF(I66,NOW(),"MD")&amp;" Hari"</f>
        <v>23 Tahun, 8 Bulan, 1 Hari</v>
      </c>
    </row>
    <row r="67" spans="1:14" x14ac:dyDescent="0.25">
      <c r="A67" s="1">
        <v>66</v>
      </c>
      <c r="B67" s="1">
        <v>682</v>
      </c>
      <c r="C67" s="4" t="s">
        <v>144</v>
      </c>
      <c r="D67" s="1" t="s">
        <v>166</v>
      </c>
      <c r="E67" s="1" t="s">
        <v>9</v>
      </c>
      <c r="F67" s="4">
        <v>3288</v>
      </c>
      <c r="G67" s="4" t="s">
        <v>435</v>
      </c>
      <c r="H67" s="2" t="s">
        <v>14</v>
      </c>
      <c r="I67" s="7" t="s">
        <v>436</v>
      </c>
      <c r="J67" s="1" t="s">
        <v>32</v>
      </c>
      <c r="K67" s="4" t="s">
        <v>437</v>
      </c>
      <c r="L67" s="4" t="s">
        <v>438</v>
      </c>
      <c r="M67" s="4">
        <v>0</v>
      </c>
      <c r="N67" s="8" t="str">
        <f t="shared" ca="1" si="1"/>
        <v>17 Tahun, 4 Bulan, 14 Hari</v>
      </c>
    </row>
    <row r="68" spans="1:14" x14ac:dyDescent="0.25">
      <c r="A68" s="1">
        <v>67</v>
      </c>
      <c r="B68" s="1">
        <v>839</v>
      </c>
      <c r="C68" s="4" t="s">
        <v>444</v>
      </c>
      <c r="D68" s="1" t="s">
        <v>113</v>
      </c>
      <c r="E68" s="1" t="s">
        <v>9</v>
      </c>
      <c r="F68" s="4">
        <v>2886</v>
      </c>
      <c r="G68" s="4" t="s">
        <v>445</v>
      </c>
      <c r="H68" s="2" t="s">
        <v>14</v>
      </c>
      <c r="I68" s="7">
        <v>38507</v>
      </c>
      <c r="J68" s="1" t="s">
        <v>32</v>
      </c>
      <c r="K68" s="4" t="s">
        <v>446</v>
      </c>
      <c r="L68" s="4" t="s">
        <v>447</v>
      </c>
      <c r="M68" s="4" t="s">
        <v>109</v>
      </c>
      <c r="N68" s="8" t="str">
        <f t="shared" ca="1" si="1"/>
        <v>19 Tahun, 6 Bulan, 17 Hari</v>
      </c>
    </row>
    <row r="69" spans="1:14" x14ac:dyDescent="0.25">
      <c r="A69" s="1">
        <v>68</v>
      </c>
      <c r="B69" s="1">
        <v>1107</v>
      </c>
      <c r="C69" s="4"/>
      <c r="D69" s="1" t="s">
        <v>166</v>
      </c>
      <c r="E69" s="1" t="s">
        <v>17</v>
      </c>
      <c r="F69" s="4">
        <v>1579</v>
      </c>
      <c r="G69" s="4" t="s">
        <v>467</v>
      </c>
      <c r="H69" s="2" t="s">
        <v>14</v>
      </c>
      <c r="I69" s="7" t="s">
        <v>468</v>
      </c>
      <c r="J69" s="1" t="s">
        <v>33</v>
      </c>
      <c r="K69" s="4" t="s">
        <v>469</v>
      </c>
      <c r="L69" s="4" t="s">
        <v>137</v>
      </c>
      <c r="M69" s="4" t="s">
        <v>138</v>
      </c>
      <c r="N69" s="8" t="str">
        <f t="shared" ca="1" si="1"/>
        <v>19 Tahun, 8 Bulan, 9 Hari</v>
      </c>
    </row>
    <row r="70" spans="1:14" x14ac:dyDescent="0.25">
      <c r="A70" s="1">
        <v>69</v>
      </c>
      <c r="B70" s="1">
        <v>1042</v>
      </c>
      <c r="C70" s="4"/>
      <c r="D70" s="1" t="s">
        <v>118</v>
      </c>
      <c r="E70" s="1" t="s">
        <v>17</v>
      </c>
      <c r="F70" s="4">
        <v>1615</v>
      </c>
      <c r="G70" s="4" t="s">
        <v>474</v>
      </c>
      <c r="H70" s="2" t="s">
        <v>14</v>
      </c>
      <c r="I70" s="7" t="s">
        <v>475</v>
      </c>
      <c r="J70" s="1" t="s">
        <v>33</v>
      </c>
      <c r="K70" s="4" t="s">
        <v>476</v>
      </c>
      <c r="L70" s="4" t="s">
        <v>477</v>
      </c>
      <c r="M70" s="4" t="s">
        <v>478</v>
      </c>
      <c r="N70" s="8" t="str">
        <f t="shared" ca="1" si="1"/>
        <v>21 Tahun, 4 Bulan, 13 Hari</v>
      </c>
    </row>
    <row r="71" spans="1:14" x14ac:dyDescent="0.25">
      <c r="A71" s="1">
        <v>70</v>
      </c>
      <c r="B71" s="1">
        <v>830</v>
      </c>
      <c r="C71" s="4" t="s">
        <v>112</v>
      </c>
      <c r="D71" s="1" t="s">
        <v>113</v>
      </c>
      <c r="E71" s="1" t="s">
        <v>9</v>
      </c>
      <c r="F71" s="4">
        <v>2797</v>
      </c>
      <c r="G71" s="4" t="s">
        <v>463</v>
      </c>
      <c r="H71" s="2" t="s">
        <v>14</v>
      </c>
      <c r="I71" s="7">
        <v>39056</v>
      </c>
      <c r="J71" s="1" t="s">
        <v>33</v>
      </c>
      <c r="K71" s="4" t="s">
        <v>464</v>
      </c>
      <c r="L71" s="4" t="s">
        <v>465</v>
      </c>
      <c r="M71" s="4" t="s">
        <v>466</v>
      </c>
      <c r="N71" s="8" t="str">
        <f t="shared" ca="1" si="1"/>
        <v>18 Tahun, 0 Bulan, 16 Hari</v>
      </c>
    </row>
    <row r="72" spans="1:14" x14ac:dyDescent="0.25">
      <c r="A72" s="1">
        <v>71</v>
      </c>
      <c r="B72" s="1">
        <v>833</v>
      </c>
      <c r="C72" s="4" t="s">
        <v>112</v>
      </c>
      <c r="D72" s="1" t="s">
        <v>113</v>
      </c>
      <c r="E72" s="1" t="s">
        <v>9</v>
      </c>
      <c r="F72" s="4">
        <v>2813</v>
      </c>
      <c r="G72" s="4" t="s">
        <v>470</v>
      </c>
      <c r="H72" s="2" t="s">
        <v>14</v>
      </c>
      <c r="I72" s="7">
        <v>38054</v>
      </c>
      <c r="J72" s="1" t="s">
        <v>33</v>
      </c>
      <c r="K72" s="4" t="s">
        <v>471</v>
      </c>
      <c r="L72" s="4" t="s">
        <v>472</v>
      </c>
      <c r="M72" s="4" t="s">
        <v>473</v>
      </c>
      <c r="N72" s="8" t="str">
        <f t="shared" ca="1" si="1"/>
        <v>20 Tahun, 9 Bulan, 13 Hari</v>
      </c>
    </row>
    <row r="73" spans="1:14" x14ac:dyDescent="0.25">
      <c r="A73" s="1">
        <v>72</v>
      </c>
      <c r="B73" s="1">
        <v>1025</v>
      </c>
      <c r="C73" s="4"/>
      <c r="D73" s="1" t="s">
        <v>118</v>
      </c>
      <c r="E73" s="1" t="s">
        <v>17</v>
      </c>
      <c r="F73" s="4">
        <v>1570</v>
      </c>
      <c r="G73" s="4" t="s">
        <v>483</v>
      </c>
      <c r="H73" s="2" t="s">
        <v>14</v>
      </c>
      <c r="I73" s="7">
        <v>38351</v>
      </c>
      <c r="J73" s="1" t="s">
        <v>34</v>
      </c>
      <c r="K73" s="4" t="s">
        <v>484</v>
      </c>
      <c r="L73" s="4" t="s">
        <v>485</v>
      </c>
      <c r="M73" s="4" t="s">
        <v>486</v>
      </c>
      <c r="N73" s="8" t="str">
        <f t="shared" ca="1" si="1"/>
        <v>19 Tahun, 11 Bulan, 21 Hari</v>
      </c>
    </row>
    <row r="74" spans="1:14" x14ac:dyDescent="0.25">
      <c r="A74" s="1">
        <v>73</v>
      </c>
      <c r="B74" s="1">
        <v>952</v>
      </c>
      <c r="C74" s="4"/>
      <c r="D74" s="1">
        <v>1</v>
      </c>
      <c r="E74" s="1" t="s">
        <v>17</v>
      </c>
      <c r="F74" s="4">
        <v>2537</v>
      </c>
      <c r="G74" s="4" t="s">
        <v>487</v>
      </c>
      <c r="H74" s="2" t="s">
        <v>14</v>
      </c>
      <c r="I74" s="7" t="s">
        <v>488</v>
      </c>
      <c r="J74" s="1" t="s">
        <v>34</v>
      </c>
      <c r="K74" s="4" t="s">
        <v>489</v>
      </c>
      <c r="L74" s="4" t="s">
        <v>490</v>
      </c>
      <c r="M74" s="4" t="s">
        <v>491</v>
      </c>
      <c r="N74" s="8" t="str">
        <f t="shared" ca="1" si="1"/>
        <v>19 Tahun, 5 Bulan, 28 Hari</v>
      </c>
    </row>
    <row r="75" spans="1:14" x14ac:dyDescent="0.25">
      <c r="A75" s="1">
        <v>74</v>
      </c>
      <c r="B75" s="1">
        <v>1036</v>
      </c>
      <c r="C75" s="4"/>
      <c r="D75" s="1" t="s">
        <v>118</v>
      </c>
      <c r="E75" s="1" t="s">
        <v>17</v>
      </c>
      <c r="F75" s="4">
        <v>1598</v>
      </c>
      <c r="G75" s="4" t="s">
        <v>492</v>
      </c>
      <c r="H75" s="2" t="s">
        <v>14</v>
      </c>
      <c r="I75" s="7" t="s">
        <v>493</v>
      </c>
      <c r="J75" s="1" t="s">
        <v>34</v>
      </c>
      <c r="K75" s="4" t="s">
        <v>494</v>
      </c>
      <c r="L75" s="4" t="s">
        <v>495</v>
      </c>
      <c r="M75" s="4" t="s">
        <v>496</v>
      </c>
      <c r="N75" s="8" t="str">
        <f t="shared" ca="1" si="1"/>
        <v>21 Tahun, 5 Bulan, 14 Hari</v>
      </c>
    </row>
    <row r="76" spans="1:14" x14ac:dyDescent="0.25">
      <c r="A76" s="1">
        <v>75</v>
      </c>
      <c r="B76" s="1">
        <v>625</v>
      </c>
      <c r="C76" s="4" t="s">
        <v>90</v>
      </c>
      <c r="D76" s="1" t="s">
        <v>118</v>
      </c>
      <c r="E76" s="1" t="s">
        <v>9</v>
      </c>
      <c r="F76" s="4">
        <v>3207</v>
      </c>
      <c r="G76" s="4" t="s">
        <v>479</v>
      </c>
      <c r="H76" s="2" t="s">
        <v>14</v>
      </c>
      <c r="I76" s="7">
        <v>39378</v>
      </c>
      <c r="J76" s="1" t="s">
        <v>34</v>
      </c>
      <c r="K76" s="4" t="s">
        <v>480</v>
      </c>
      <c r="L76" s="4" t="s">
        <v>481</v>
      </c>
      <c r="M76" s="4" t="s">
        <v>482</v>
      </c>
      <c r="N76" s="8" t="str">
        <f t="shared" ca="1" si="1"/>
        <v>17 Tahun, 1 Bulan, 28 Hari</v>
      </c>
    </row>
    <row r="77" spans="1:14" x14ac:dyDescent="0.25">
      <c r="A77" s="1">
        <v>76</v>
      </c>
      <c r="B77" s="1">
        <v>1017</v>
      </c>
      <c r="C77" s="4"/>
      <c r="D77" s="1" t="s">
        <v>118</v>
      </c>
      <c r="E77" s="1" t="s">
        <v>17</v>
      </c>
      <c r="F77" s="4">
        <v>1546</v>
      </c>
      <c r="G77" s="4" t="s">
        <v>503</v>
      </c>
      <c r="H77" s="2" t="s">
        <v>75</v>
      </c>
      <c r="I77" s="7" t="s">
        <v>504</v>
      </c>
      <c r="J77" s="1" t="s">
        <v>35</v>
      </c>
      <c r="K77" s="4" t="s">
        <v>505</v>
      </c>
      <c r="L77" s="4" t="s">
        <v>506</v>
      </c>
      <c r="M77" s="4" t="s">
        <v>507</v>
      </c>
      <c r="N77" s="8" t="str">
        <f t="shared" ca="1" si="1"/>
        <v>18 Tahun, 10 Bulan, 1 Hari</v>
      </c>
    </row>
    <row r="78" spans="1:14" x14ac:dyDescent="0.25">
      <c r="A78" s="1">
        <v>77</v>
      </c>
      <c r="B78" s="1">
        <v>915</v>
      </c>
      <c r="C78" s="4"/>
      <c r="D78" s="1">
        <v>1</v>
      </c>
      <c r="E78" s="1" t="s">
        <v>17</v>
      </c>
      <c r="F78" s="4">
        <v>2422</v>
      </c>
      <c r="G78" s="4" t="s">
        <v>508</v>
      </c>
      <c r="H78" s="2" t="s">
        <v>75</v>
      </c>
      <c r="I78" s="7" t="s">
        <v>509</v>
      </c>
      <c r="J78" s="1" t="s">
        <v>35</v>
      </c>
      <c r="K78" s="4" t="s">
        <v>217</v>
      </c>
      <c r="L78" s="4" t="s">
        <v>510</v>
      </c>
      <c r="M78" s="4" t="s">
        <v>491</v>
      </c>
      <c r="N78" s="8" t="str">
        <f t="shared" ca="1" si="1"/>
        <v>20 Tahun, 0 Bulan, 9 Hari</v>
      </c>
    </row>
    <row r="79" spans="1:14" x14ac:dyDescent="0.25">
      <c r="A79" s="1">
        <v>78</v>
      </c>
      <c r="B79" s="1">
        <v>1102</v>
      </c>
      <c r="C79" s="4"/>
      <c r="D79" s="1" t="s">
        <v>166</v>
      </c>
      <c r="E79" s="1" t="s">
        <v>17</v>
      </c>
      <c r="F79" s="4">
        <v>1561</v>
      </c>
      <c r="G79" s="4" t="s">
        <v>511</v>
      </c>
      <c r="H79" s="2" t="s">
        <v>75</v>
      </c>
      <c r="I79" s="7" t="s">
        <v>512</v>
      </c>
      <c r="J79" s="1" t="s">
        <v>35</v>
      </c>
      <c r="K79" s="4" t="s">
        <v>513</v>
      </c>
      <c r="L79" s="4" t="s">
        <v>514</v>
      </c>
      <c r="M79" s="4" t="s">
        <v>515</v>
      </c>
      <c r="N79" s="8" t="str">
        <f t="shared" ca="1" si="1"/>
        <v>19 Tahun, 8 Bulan, 14 Hari</v>
      </c>
    </row>
    <row r="80" spans="1:14" x14ac:dyDescent="0.25">
      <c r="A80" s="1">
        <v>79</v>
      </c>
      <c r="B80" s="1">
        <v>1012</v>
      </c>
      <c r="C80" s="4"/>
      <c r="D80" s="1" t="s">
        <v>118</v>
      </c>
      <c r="E80" s="1" t="s">
        <v>17</v>
      </c>
      <c r="F80" s="4">
        <v>1528</v>
      </c>
      <c r="G80" s="4" t="s">
        <v>516</v>
      </c>
      <c r="H80" s="2" t="s">
        <v>75</v>
      </c>
      <c r="I80" s="7" t="s">
        <v>517</v>
      </c>
      <c r="J80" s="1" t="s">
        <v>35</v>
      </c>
      <c r="K80" s="4" t="s">
        <v>518</v>
      </c>
      <c r="L80" s="4" t="s">
        <v>519</v>
      </c>
      <c r="M80" s="4" t="s">
        <v>520</v>
      </c>
      <c r="N80" s="8" t="str">
        <f t="shared" ca="1" si="1"/>
        <v>19 Tahun, 8 Bulan, 23 Hari</v>
      </c>
    </row>
    <row r="81" spans="1:14" x14ac:dyDescent="0.25">
      <c r="A81" s="1">
        <v>80</v>
      </c>
      <c r="B81" s="1">
        <v>1031</v>
      </c>
      <c r="C81" s="4"/>
      <c r="D81" s="1" t="s">
        <v>118</v>
      </c>
      <c r="E81" s="1" t="s">
        <v>17</v>
      </c>
      <c r="F81" s="4">
        <v>1588</v>
      </c>
      <c r="G81" s="4" t="s">
        <v>521</v>
      </c>
      <c r="H81" s="2" t="s">
        <v>75</v>
      </c>
      <c r="I81" s="7" t="s">
        <v>517</v>
      </c>
      <c r="J81" s="1" t="s">
        <v>35</v>
      </c>
      <c r="K81" s="4" t="s">
        <v>522</v>
      </c>
      <c r="L81" s="4" t="s">
        <v>523</v>
      </c>
      <c r="M81" s="4">
        <v>0</v>
      </c>
      <c r="N81" s="8" t="str">
        <f t="shared" ca="1" si="1"/>
        <v>19 Tahun, 8 Bulan, 23 Hari</v>
      </c>
    </row>
    <row r="82" spans="1:14" x14ac:dyDescent="0.25">
      <c r="A82" s="1">
        <v>81</v>
      </c>
      <c r="B82" s="1">
        <v>968</v>
      </c>
      <c r="C82" s="4"/>
      <c r="D82" s="1">
        <v>1</v>
      </c>
      <c r="E82" s="1" t="s">
        <v>17</v>
      </c>
      <c r="F82" s="4">
        <v>2530</v>
      </c>
      <c r="G82" s="4" t="s">
        <v>524</v>
      </c>
      <c r="H82" s="2" t="s">
        <v>75</v>
      </c>
      <c r="I82" s="7" t="s">
        <v>525</v>
      </c>
      <c r="J82" s="1" t="s">
        <v>35</v>
      </c>
      <c r="K82" s="4" t="s">
        <v>399</v>
      </c>
      <c r="L82" s="4" t="s">
        <v>526</v>
      </c>
      <c r="M82" s="4" t="s">
        <v>527</v>
      </c>
      <c r="N82" s="8" t="str">
        <f t="shared" ca="1" si="1"/>
        <v>19 Tahun, 9 Bulan, 1 Hari</v>
      </c>
    </row>
    <row r="83" spans="1:14" x14ac:dyDescent="0.25">
      <c r="A83" s="1">
        <v>82</v>
      </c>
      <c r="B83" s="1">
        <v>706</v>
      </c>
      <c r="C83" s="4" t="s">
        <v>144</v>
      </c>
      <c r="D83" s="1" t="s">
        <v>166</v>
      </c>
      <c r="E83" s="1" t="s">
        <v>9</v>
      </c>
      <c r="F83" s="4">
        <v>3287</v>
      </c>
      <c r="G83" s="4" t="s">
        <v>498</v>
      </c>
      <c r="H83" s="2" t="s">
        <v>14</v>
      </c>
      <c r="I83" s="7" t="s">
        <v>499</v>
      </c>
      <c r="J83" s="1" t="s">
        <v>35</v>
      </c>
      <c r="K83" s="4" t="s">
        <v>500</v>
      </c>
      <c r="L83" s="4" t="s">
        <v>501</v>
      </c>
      <c r="M83" s="4" t="s">
        <v>502</v>
      </c>
      <c r="N83" s="8" t="str">
        <f t="shared" ca="1" si="1"/>
        <v>17 Tahun, 9 Bulan, 16 Hari</v>
      </c>
    </row>
    <row r="84" spans="1:14" x14ac:dyDescent="0.25">
      <c r="A84" s="1">
        <v>83</v>
      </c>
      <c r="B84" s="1">
        <v>1078</v>
      </c>
      <c r="C84" s="4"/>
      <c r="D84" s="1" t="s">
        <v>128</v>
      </c>
      <c r="E84" s="1" t="s">
        <v>17</v>
      </c>
      <c r="F84" s="4">
        <v>1612</v>
      </c>
      <c r="G84" s="4" t="s">
        <v>528</v>
      </c>
      <c r="H84" s="2" t="s">
        <v>14</v>
      </c>
      <c r="I84" s="7" t="s">
        <v>529</v>
      </c>
      <c r="J84" s="1" t="s">
        <v>36</v>
      </c>
      <c r="K84" s="4" t="s">
        <v>530</v>
      </c>
      <c r="L84" s="4" t="s">
        <v>531</v>
      </c>
      <c r="M84" s="4" t="s">
        <v>458</v>
      </c>
      <c r="N84" s="8" t="str">
        <f t="shared" ca="1" si="1"/>
        <v>18 Tahun, 3 Bulan, 16 Hari</v>
      </c>
    </row>
    <row r="85" spans="1:14" x14ac:dyDescent="0.25">
      <c r="A85" s="1">
        <v>84</v>
      </c>
      <c r="B85" s="1">
        <v>937</v>
      </c>
      <c r="C85" s="4"/>
      <c r="D85" s="1">
        <v>1</v>
      </c>
      <c r="E85" s="1" t="s">
        <v>17</v>
      </c>
      <c r="F85" s="4">
        <v>2516</v>
      </c>
      <c r="G85" s="4" t="s">
        <v>532</v>
      </c>
      <c r="H85" s="2" t="s">
        <v>14</v>
      </c>
      <c r="I85" s="7" t="s">
        <v>533</v>
      </c>
      <c r="J85" s="1" t="s">
        <v>36</v>
      </c>
      <c r="K85" s="4" t="s">
        <v>111</v>
      </c>
      <c r="L85" s="4" t="s">
        <v>534</v>
      </c>
      <c r="M85" s="4" t="s">
        <v>535</v>
      </c>
      <c r="N85" s="8" t="str">
        <f t="shared" ca="1" si="1"/>
        <v>18 Tahun, 6 Bulan, 6 Hari</v>
      </c>
    </row>
    <row r="86" spans="1:14" x14ac:dyDescent="0.25">
      <c r="A86" s="1">
        <v>85</v>
      </c>
      <c r="B86" s="1">
        <v>61</v>
      </c>
      <c r="C86" s="4">
        <v>0</v>
      </c>
      <c r="D86" s="1" t="s">
        <v>13</v>
      </c>
      <c r="E86" s="1" t="s">
        <v>11</v>
      </c>
      <c r="F86" s="4">
        <v>1431262</v>
      </c>
      <c r="G86" s="4" t="s">
        <v>542</v>
      </c>
      <c r="H86" s="2" t="s">
        <v>14</v>
      </c>
      <c r="I86" s="7">
        <v>38735</v>
      </c>
      <c r="J86" s="1" t="s">
        <v>37</v>
      </c>
      <c r="K86" s="4" t="s">
        <v>543</v>
      </c>
      <c r="L86" s="4" t="s">
        <v>544</v>
      </c>
      <c r="M86" s="4" t="s">
        <v>545</v>
      </c>
      <c r="N86" s="8" t="str">
        <f t="shared" ca="1" si="1"/>
        <v>18 Tahun, 11 Bulan, 3 Hari</v>
      </c>
    </row>
    <row r="87" spans="1:14" x14ac:dyDescent="0.25">
      <c r="A87" s="1">
        <v>86</v>
      </c>
      <c r="B87" s="1">
        <v>990</v>
      </c>
      <c r="C87" s="4"/>
      <c r="D87" s="1">
        <v>1</v>
      </c>
      <c r="E87" s="1" t="s">
        <v>17</v>
      </c>
      <c r="F87" s="4">
        <v>2470</v>
      </c>
      <c r="G87" s="4" t="s">
        <v>551</v>
      </c>
      <c r="H87" s="2" t="s">
        <v>14</v>
      </c>
      <c r="I87" s="7" t="s">
        <v>552</v>
      </c>
      <c r="J87" s="1" t="s">
        <v>37</v>
      </c>
      <c r="K87" s="4" t="s">
        <v>553</v>
      </c>
      <c r="L87" s="4" t="s">
        <v>554</v>
      </c>
      <c r="M87" s="4" t="s">
        <v>555</v>
      </c>
      <c r="N87" s="8" t="str">
        <f t="shared" ca="1" si="1"/>
        <v>18 Tahun, 6 Bulan, 1 Hari</v>
      </c>
    </row>
    <row r="88" spans="1:14" x14ac:dyDescent="0.25">
      <c r="A88" s="1">
        <v>87</v>
      </c>
      <c r="B88" s="1">
        <v>1043</v>
      </c>
      <c r="C88" s="4"/>
      <c r="D88" s="1" t="s">
        <v>128</v>
      </c>
      <c r="E88" s="1" t="s">
        <v>17</v>
      </c>
      <c r="F88" s="4">
        <v>1514</v>
      </c>
      <c r="G88" s="4" t="s">
        <v>556</v>
      </c>
      <c r="H88" s="2" t="s">
        <v>14</v>
      </c>
      <c r="I88" s="7" t="s">
        <v>557</v>
      </c>
      <c r="J88" s="1" t="s">
        <v>37</v>
      </c>
      <c r="K88" s="4" t="s">
        <v>558</v>
      </c>
      <c r="L88" s="4" t="s">
        <v>559</v>
      </c>
      <c r="M88" s="4">
        <v>0</v>
      </c>
      <c r="N88" s="8" t="str">
        <f t="shared" ca="1" si="1"/>
        <v>19 Tahun, 2 Bulan, 13 Hari</v>
      </c>
    </row>
    <row r="89" spans="1:14" x14ac:dyDescent="0.25">
      <c r="A89" s="1">
        <v>88</v>
      </c>
      <c r="B89" s="1">
        <v>1093</v>
      </c>
      <c r="C89" s="4"/>
      <c r="D89" s="1" t="s">
        <v>166</v>
      </c>
      <c r="E89" s="1" t="s">
        <v>17</v>
      </c>
      <c r="F89" s="4">
        <v>1549</v>
      </c>
      <c r="G89" s="4" t="s">
        <v>560</v>
      </c>
      <c r="H89" s="2" t="s">
        <v>14</v>
      </c>
      <c r="I89" s="7" t="s">
        <v>561</v>
      </c>
      <c r="J89" s="1" t="s">
        <v>37</v>
      </c>
      <c r="K89" s="4" t="s">
        <v>562</v>
      </c>
      <c r="L89" s="4" t="s">
        <v>563</v>
      </c>
      <c r="M89" s="4">
        <v>0</v>
      </c>
      <c r="N89" s="8" t="str">
        <f t="shared" ca="1" si="1"/>
        <v>20 Tahun, 0 Bulan, 12 Hari</v>
      </c>
    </row>
    <row r="90" spans="1:14" x14ac:dyDescent="0.25">
      <c r="A90" s="1">
        <v>89</v>
      </c>
      <c r="B90" s="1">
        <v>1035</v>
      </c>
      <c r="C90" s="4"/>
      <c r="D90" s="1" t="s">
        <v>118</v>
      </c>
      <c r="E90" s="1" t="s">
        <v>17</v>
      </c>
      <c r="F90" s="4">
        <v>1596</v>
      </c>
      <c r="G90" s="4" t="s">
        <v>564</v>
      </c>
      <c r="H90" s="2" t="s">
        <v>14</v>
      </c>
      <c r="I90" s="7" t="s">
        <v>565</v>
      </c>
      <c r="J90" s="1" t="s">
        <v>37</v>
      </c>
      <c r="K90" s="4" t="s">
        <v>566</v>
      </c>
      <c r="L90" s="4" t="s">
        <v>567</v>
      </c>
      <c r="M90" s="4" t="s">
        <v>568</v>
      </c>
      <c r="N90" s="8" t="str">
        <f t="shared" ca="1" si="1"/>
        <v>20 Tahun, 1 Bulan, 5 Hari</v>
      </c>
    </row>
    <row r="91" spans="1:14" x14ac:dyDescent="0.25">
      <c r="A91" s="1">
        <v>90</v>
      </c>
      <c r="B91" s="1">
        <v>1053</v>
      </c>
      <c r="C91" s="4"/>
      <c r="D91" s="1" t="s">
        <v>128</v>
      </c>
      <c r="E91" s="1" t="s">
        <v>17</v>
      </c>
      <c r="F91" s="4">
        <v>1539</v>
      </c>
      <c r="G91" s="4" t="s">
        <v>569</v>
      </c>
      <c r="H91" s="2" t="s">
        <v>14</v>
      </c>
      <c r="I91" s="7" t="s">
        <v>570</v>
      </c>
      <c r="J91" s="1" t="s">
        <v>37</v>
      </c>
      <c r="K91" s="4" t="s">
        <v>571</v>
      </c>
      <c r="L91" s="4" t="s">
        <v>94</v>
      </c>
      <c r="M91" s="4" t="s">
        <v>572</v>
      </c>
      <c r="N91" s="8" t="str">
        <f t="shared" ca="1" si="1"/>
        <v>20 Tahun, 6 Bulan, 3 Hari</v>
      </c>
    </row>
    <row r="92" spans="1:14" x14ac:dyDescent="0.25">
      <c r="A92" s="1">
        <v>91</v>
      </c>
      <c r="B92" s="1">
        <v>1110</v>
      </c>
      <c r="C92" s="4"/>
      <c r="D92" s="1" t="s">
        <v>166</v>
      </c>
      <c r="E92" s="1" t="s">
        <v>17</v>
      </c>
      <c r="F92" s="4">
        <v>1600</v>
      </c>
      <c r="G92" s="4" t="s">
        <v>573</v>
      </c>
      <c r="H92" s="2" t="s">
        <v>14</v>
      </c>
      <c r="I92" s="7" t="s">
        <v>574</v>
      </c>
      <c r="J92" s="1" t="s">
        <v>37</v>
      </c>
      <c r="K92" s="4" t="s">
        <v>575</v>
      </c>
      <c r="L92" s="4" t="s">
        <v>576</v>
      </c>
      <c r="M92" s="4" t="s">
        <v>577</v>
      </c>
      <c r="N92" s="8" t="str">
        <f t="shared" ca="1" si="1"/>
        <v>20 Tahun, 9 Bulan, 18 Hari</v>
      </c>
    </row>
    <row r="93" spans="1:14" x14ac:dyDescent="0.25">
      <c r="A93" s="1">
        <v>92</v>
      </c>
      <c r="B93" s="1">
        <v>917</v>
      </c>
      <c r="C93" s="4"/>
      <c r="D93" s="1">
        <v>1</v>
      </c>
      <c r="E93" s="1" t="s">
        <v>17</v>
      </c>
      <c r="F93" s="4">
        <v>2424</v>
      </c>
      <c r="G93" s="4" t="s">
        <v>578</v>
      </c>
      <c r="H93" s="2" t="s">
        <v>14</v>
      </c>
      <c r="I93" s="7" t="s">
        <v>579</v>
      </c>
      <c r="J93" s="1" t="s">
        <v>37</v>
      </c>
      <c r="K93" s="4" t="s">
        <v>580</v>
      </c>
      <c r="L93" s="4" t="s">
        <v>581</v>
      </c>
      <c r="M93" s="4" t="s">
        <v>96</v>
      </c>
      <c r="N93" s="8" t="str">
        <f t="shared" ca="1" si="1"/>
        <v>21 Tahun, 5 Bulan, 23 Hari</v>
      </c>
    </row>
    <row r="94" spans="1:14" x14ac:dyDescent="0.25">
      <c r="A94" s="1">
        <v>93</v>
      </c>
      <c r="B94" s="1">
        <v>1015</v>
      </c>
      <c r="C94" s="4"/>
      <c r="D94" s="1" t="s">
        <v>118</v>
      </c>
      <c r="E94" s="1" t="s">
        <v>17</v>
      </c>
      <c r="F94" s="4">
        <v>1543</v>
      </c>
      <c r="G94" s="4" t="s">
        <v>582</v>
      </c>
      <c r="H94" s="2" t="s">
        <v>14</v>
      </c>
      <c r="I94" s="7" t="s">
        <v>583</v>
      </c>
      <c r="J94" s="1" t="s">
        <v>37</v>
      </c>
      <c r="K94" s="4" t="s">
        <v>584</v>
      </c>
      <c r="L94" s="4" t="s">
        <v>585</v>
      </c>
      <c r="M94" s="4" t="s">
        <v>586</v>
      </c>
      <c r="N94" s="8" t="str">
        <f t="shared" ca="1" si="1"/>
        <v>21 Tahun, 8 Bulan, 14 Hari</v>
      </c>
    </row>
    <row r="95" spans="1:14" x14ac:dyDescent="0.25">
      <c r="A95" s="1">
        <v>94</v>
      </c>
      <c r="B95" s="1">
        <v>527</v>
      </c>
      <c r="C95" s="4"/>
      <c r="D95" s="1" t="s">
        <v>243</v>
      </c>
      <c r="E95" s="1" t="s">
        <v>9</v>
      </c>
      <c r="F95" s="4">
        <v>3664</v>
      </c>
      <c r="G95" s="4" t="s">
        <v>546</v>
      </c>
      <c r="H95" s="2" t="s">
        <v>14</v>
      </c>
      <c r="I95" s="7" t="s">
        <v>547</v>
      </c>
      <c r="J95" s="1" t="s">
        <v>37</v>
      </c>
      <c r="K95" s="4" t="s">
        <v>548</v>
      </c>
      <c r="L95" s="4" t="s">
        <v>549</v>
      </c>
      <c r="M95" s="4" t="s">
        <v>550</v>
      </c>
      <c r="N95" s="8" t="str">
        <f t="shared" ca="1" si="1"/>
        <v>18 Tahun, 5 Bulan, 3 Hari</v>
      </c>
    </row>
    <row r="96" spans="1:14" x14ac:dyDescent="0.25">
      <c r="A96" s="1">
        <v>95</v>
      </c>
      <c r="B96" s="1">
        <v>981</v>
      </c>
      <c r="C96" s="4"/>
      <c r="D96" s="1">
        <v>1</v>
      </c>
      <c r="E96" s="1" t="s">
        <v>17</v>
      </c>
      <c r="F96" s="4">
        <v>2446</v>
      </c>
      <c r="G96" s="4" t="s">
        <v>593</v>
      </c>
      <c r="H96" s="2" t="s">
        <v>14</v>
      </c>
      <c r="I96" s="7" t="s">
        <v>594</v>
      </c>
      <c r="J96" s="1" t="s">
        <v>38</v>
      </c>
      <c r="K96" s="4" t="s">
        <v>595</v>
      </c>
      <c r="L96" s="4" t="s">
        <v>596</v>
      </c>
      <c r="M96" s="4" t="s">
        <v>597</v>
      </c>
      <c r="N96" s="8" t="str">
        <f t="shared" ca="1" si="1"/>
        <v>18 Tahun, 5 Bulan, 16 Hari</v>
      </c>
    </row>
    <row r="97" spans="1:14" x14ac:dyDescent="0.25">
      <c r="A97" s="1">
        <v>96</v>
      </c>
      <c r="B97" s="1">
        <v>1074</v>
      </c>
      <c r="C97" s="4"/>
      <c r="D97" s="1" t="s">
        <v>128</v>
      </c>
      <c r="E97" s="1" t="s">
        <v>17</v>
      </c>
      <c r="F97" s="4">
        <v>1603</v>
      </c>
      <c r="G97" s="4" t="s">
        <v>600</v>
      </c>
      <c r="H97" s="2" t="s">
        <v>14</v>
      </c>
      <c r="I97" s="7" t="s">
        <v>601</v>
      </c>
      <c r="J97" s="1" t="s">
        <v>38</v>
      </c>
      <c r="K97" s="4" t="s">
        <v>602</v>
      </c>
      <c r="L97" s="4" t="s">
        <v>603</v>
      </c>
      <c r="M97" s="4" t="s">
        <v>604</v>
      </c>
      <c r="N97" s="8" t="str">
        <f t="shared" ca="1" si="1"/>
        <v>19 Tahun, 9 Bulan, 10 Hari</v>
      </c>
    </row>
    <row r="98" spans="1:14" x14ac:dyDescent="0.25">
      <c r="A98" s="1">
        <v>97</v>
      </c>
      <c r="B98" s="1">
        <v>1046</v>
      </c>
      <c r="C98" s="4"/>
      <c r="D98" s="1" t="s">
        <v>128</v>
      </c>
      <c r="E98" s="1" t="s">
        <v>17</v>
      </c>
      <c r="F98" s="4">
        <v>1526</v>
      </c>
      <c r="G98" s="4" t="s">
        <v>605</v>
      </c>
      <c r="H98" s="2" t="s">
        <v>14</v>
      </c>
      <c r="I98" s="7" t="s">
        <v>606</v>
      </c>
      <c r="J98" s="1" t="s">
        <v>38</v>
      </c>
      <c r="K98" s="4" t="s">
        <v>607</v>
      </c>
      <c r="L98" s="4" t="s">
        <v>383</v>
      </c>
      <c r="M98" s="4" t="s">
        <v>384</v>
      </c>
      <c r="N98" s="8" t="str">
        <f t="shared" ca="1" si="1"/>
        <v>20 Tahun, 8 Bulan, 16 Hari</v>
      </c>
    </row>
    <row r="99" spans="1:14" x14ac:dyDescent="0.25">
      <c r="A99" s="1">
        <v>98</v>
      </c>
      <c r="B99" s="1">
        <v>546</v>
      </c>
      <c r="C99" s="4" t="s">
        <v>144</v>
      </c>
      <c r="D99" s="1" t="s">
        <v>206</v>
      </c>
      <c r="E99" s="1" t="s">
        <v>9</v>
      </c>
      <c r="F99" s="4">
        <v>3692</v>
      </c>
      <c r="G99" s="4" t="s">
        <v>588</v>
      </c>
      <c r="H99" s="2" t="s">
        <v>149</v>
      </c>
      <c r="I99" s="7" t="s">
        <v>589</v>
      </c>
      <c r="J99" s="1" t="s">
        <v>38</v>
      </c>
      <c r="K99" s="4" t="s">
        <v>590</v>
      </c>
      <c r="L99" s="4" t="s">
        <v>591</v>
      </c>
      <c r="M99" s="4" t="s">
        <v>592</v>
      </c>
      <c r="N99" s="8" t="str">
        <f t="shared" ca="1" si="1"/>
        <v>17 Tahun, 4 Bulan, 24 Hari</v>
      </c>
    </row>
    <row r="100" spans="1:14" x14ac:dyDescent="0.25">
      <c r="A100" s="1">
        <v>99</v>
      </c>
      <c r="B100" s="1">
        <v>1037</v>
      </c>
      <c r="C100" s="4"/>
      <c r="D100" s="1" t="s">
        <v>118</v>
      </c>
      <c r="E100" s="1" t="s">
        <v>17</v>
      </c>
      <c r="F100" s="4">
        <v>1599</v>
      </c>
      <c r="G100" s="4" t="s">
        <v>609</v>
      </c>
      <c r="H100" s="2" t="s">
        <v>14</v>
      </c>
      <c r="I100" s="7" t="s">
        <v>610</v>
      </c>
      <c r="J100" s="1" t="s">
        <v>40</v>
      </c>
      <c r="K100" s="4" t="s">
        <v>611</v>
      </c>
      <c r="L100" s="4" t="s">
        <v>612</v>
      </c>
      <c r="M100" s="4" t="s">
        <v>613</v>
      </c>
      <c r="N100" s="8" t="str">
        <f t="shared" ca="1" si="1"/>
        <v>18 Tahun, 0 Bulan, 1 Hari</v>
      </c>
    </row>
    <row r="101" spans="1:14" x14ac:dyDescent="0.25">
      <c r="A101" s="1">
        <v>100</v>
      </c>
      <c r="B101" s="1">
        <v>1057</v>
      </c>
      <c r="C101" s="4"/>
      <c r="D101" s="1" t="s">
        <v>128</v>
      </c>
      <c r="E101" s="1" t="s">
        <v>17</v>
      </c>
      <c r="F101" s="4">
        <v>1555</v>
      </c>
      <c r="G101" s="4" t="s">
        <v>621</v>
      </c>
      <c r="H101" s="2" t="s">
        <v>14</v>
      </c>
      <c r="I101" s="7" t="s">
        <v>622</v>
      </c>
      <c r="J101" s="1" t="s">
        <v>40</v>
      </c>
      <c r="K101" s="4" t="s">
        <v>623</v>
      </c>
      <c r="L101" s="4" t="s">
        <v>245</v>
      </c>
      <c r="M101" s="4" t="s">
        <v>224</v>
      </c>
      <c r="N101" s="8" t="str">
        <f t="shared" ca="1" si="1"/>
        <v>18 Tahun, 10 Bulan, 20 Hari</v>
      </c>
    </row>
    <row r="102" spans="1:14" x14ac:dyDescent="0.25">
      <c r="A102" s="1">
        <v>101</v>
      </c>
      <c r="B102" s="1">
        <v>898</v>
      </c>
      <c r="C102" s="4"/>
      <c r="D102" s="1">
        <v>1</v>
      </c>
      <c r="E102" s="1" t="s">
        <v>17</v>
      </c>
      <c r="F102" s="4">
        <v>2462</v>
      </c>
      <c r="G102" s="4" t="s">
        <v>624</v>
      </c>
      <c r="H102" s="2" t="s">
        <v>14</v>
      </c>
      <c r="I102" s="7" t="s">
        <v>625</v>
      </c>
      <c r="J102" s="1" t="s">
        <v>40</v>
      </c>
      <c r="K102" s="4" t="s">
        <v>222</v>
      </c>
      <c r="L102" s="4" t="s">
        <v>98</v>
      </c>
      <c r="M102" s="4" t="s">
        <v>99</v>
      </c>
      <c r="N102" s="8" t="str">
        <f t="shared" ca="1" si="1"/>
        <v>19 Tahun, 1 Bulan, 25 Hari</v>
      </c>
    </row>
    <row r="103" spans="1:14" x14ac:dyDescent="0.25">
      <c r="A103" s="1">
        <v>102</v>
      </c>
      <c r="B103" s="1">
        <v>973</v>
      </c>
      <c r="C103" s="4"/>
      <c r="D103" s="1">
        <v>1</v>
      </c>
      <c r="E103" s="1" t="s">
        <v>17</v>
      </c>
      <c r="F103" s="4">
        <v>2412</v>
      </c>
      <c r="G103" s="4" t="s">
        <v>338</v>
      </c>
      <c r="H103" s="2" t="s">
        <v>14</v>
      </c>
      <c r="I103" s="7">
        <v>38578</v>
      </c>
      <c r="J103" s="1" t="s">
        <v>40</v>
      </c>
      <c r="K103" s="4" t="s">
        <v>626</v>
      </c>
      <c r="L103" s="4" t="s">
        <v>400</v>
      </c>
      <c r="M103" s="4" t="s">
        <v>537</v>
      </c>
      <c r="N103" s="8" t="str">
        <f t="shared" ca="1" si="1"/>
        <v>19 Tahun, 4 Bulan, 7 Hari</v>
      </c>
    </row>
    <row r="104" spans="1:14" x14ac:dyDescent="0.25">
      <c r="A104" s="1">
        <v>103</v>
      </c>
      <c r="B104" s="1">
        <v>1033</v>
      </c>
      <c r="C104" s="4"/>
      <c r="D104" s="1" t="s">
        <v>118</v>
      </c>
      <c r="E104" s="1" t="s">
        <v>17</v>
      </c>
      <c r="F104" s="4">
        <v>1593</v>
      </c>
      <c r="G104" s="4" t="s">
        <v>627</v>
      </c>
      <c r="H104" s="2" t="s">
        <v>14</v>
      </c>
      <c r="I104" s="7">
        <v>38252</v>
      </c>
      <c r="J104" s="1" t="s">
        <v>40</v>
      </c>
      <c r="K104" s="4" t="s">
        <v>628</v>
      </c>
      <c r="L104" s="4" t="s">
        <v>382</v>
      </c>
      <c r="M104" s="4" t="s">
        <v>629</v>
      </c>
      <c r="N104" s="8" t="str">
        <f t="shared" ca="1" si="1"/>
        <v>20 Tahun, 2 Bulan, 29 Hari</v>
      </c>
    </row>
    <row r="105" spans="1:14" x14ac:dyDescent="0.25">
      <c r="A105" s="1">
        <v>104</v>
      </c>
      <c r="B105" s="1">
        <v>1089</v>
      </c>
      <c r="C105" s="4"/>
      <c r="D105" s="1" t="s">
        <v>166</v>
      </c>
      <c r="E105" s="1" t="s">
        <v>17</v>
      </c>
      <c r="F105" s="4">
        <v>1538</v>
      </c>
      <c r="G105" s="4" t="s">
        <v>630</v>
      </c>
      <c r="H105" s="2" t="s">
        <v>14</v>
      </c>
      <c r="I105" s="7" t="s">
        <v>631</v>
      </c>
      <c r="J105" s="1" t="s">
        <v>40</v>
      </c>
      <c r="K105" s="4" t="s">
        <v>632</v>
      </c>
      <c r="L105" s="4" t="s">
        <v>633</v>
      </c>
      <c r="M105" s="4" t="s">
        <v>634</v>
      </c>
      <c r="N105" s="8" t="str">
        <f t="shared" ca="1" si="1"/>
        <v>20 Tahun, 9 Bulan, 28 Hari</v>
      </c>
    </row>
    <row r="106" spans="1:14" x14ac:dyDescent="0.25">
      <c r="A106" s="1">
        <v>105</v>
      </c>
      <c r="B106" s="1">
        <v>880</v>
      </c>
      <c r="C106" s="4" t="s">
        <v>144</v>
      </c>
      <c r="D106" s="1" t="s">
        <v>91</v>
      </c>
      <c r="E106" s="1" t="s">
        <v>9</v>
      </c>
      <c r="F106" s="4">
        <v>2806</v>
      </c>
      <c r="G106" s="4" t="s">
        <v>608</v>
      </c>
      <c r="H106" s="2" t="s">
        <v>14</v>
      </c>
      <c r="I106" s="7">
        <v>39105</v>
      </c>
      <c r="J106" s="1" t="s">
        <v>40</v>
      </c>
      <c r="K106" s="4" t="s">
        <v>413</v>
      </c>
      <c r="L106" s="4" t="s">
        <v>278</v>
      </c>
      <c r="M106" s="4" t="s">
        <v>279</v>
      </c>
      <c r="N106" s="8" t="str">
        <f t="shared" ca="1" si="1"/>
        <v>17 Tahun, 10 Bulan, 28 Hari</v>
      </c>
    </row>
    <row r="107" spans="1:14" x14ac:dyDescent="0.25">
      <c r="A107" s="1">
        <v>106</v>
      </c>
      <c r="B107" s="1">
        <v>750</v>
      </c>
      <c r="C107" s="4" t="s">
        <v>117</v>
      </c>
      <c r="D107" s="1" t="s">
        <v>153</v>
      </c>
      <c r="E107" s="1" t="s">
        <v>9</v>
      </c>
      <c r="F107" s="4">
        <v>2749</v>
      </c>
      <c r="G107" s="4" t="s">
        <v>614</v>
      </c>
      <c r="H107" s="2" t="s">
        <v>14</v>
      </c>
      <c r="I107" s="7">
        <v>39203</v>
      </c>
      <c r="J107" s="1" t="s">
        <v>40</v>
      </c>
      <c r="K107" s="4" t="s">
        <v>413</v>
      </c>
      <c r="L107" s="4" t="s">
        <v>615</v>
      </c>
      <c r="M107" s="4" t="s">
        <v>616</v>
      </c>
      <c r="N107" s="8" t="str">
        <f t="shared" ca="1" si="1"/>
        <v>17 Tahun, 7 Bulan, 20 Hari</v>
      </c>
    </row>
    <row r="108" spans="1:14" x14ac:dyDescent="0.25">
      <c r="A108" s="1">
        <v>107</v>
      </c>
      <c r="B108" s="1">
        <v>761</v>
      </c>
      <c r="C108" s="4" t="s">
        <v>117</v>
      </c>
      <c r="D108" s="1" t="s">
        <v>153</v>
      </c>
      <c r="E108" s="1" t="s">
        <v>9</v>
      </c>
      <c r="F108" s="4">
        <v>2502</v>
      </c>
      <c r="G108" s="4" t="s">
        <v>617</v>
      </c>
      <c r="H108" s="2" t="s">
        <v>14</v>
      </c>
      <c r="I108" s="7">
        <v>38852</v>
      </c>
      <c r="J108" s="1" t="s">
        <v>40</v>
      </c>
      <c r="K108" s="4" t="s">
        <v>618</v>
      </c>
      <c r="L108" s="4" t="s">
        <v>619</v>
      </c>
      <c r="M108" s="4" t="s">
        <v>620</v>
      </c>
      <c r="N108" s="8" t="str">
        <f t="shared" ca="1" si="1"/>
        <v>18 Tahun, 7 Bulan, 6 Hari</v>
      </c>
    </row>
    <row r="109" spans="1:14" x14ac:dyDescent="0.25">
      <c r="A109" s="1">
        <v>108</v>
      </c>
      <c r="B109" s="1">
        <v>954</v>
      </c>
      <c r="C109" s="4"/>
      <c r="D109" s="1">
        <v>1</v>
      </c>
      <c r="E109" s="1" t="s">
        <v>17</v>
      </c>
      <c r="F109" s="4">
        <v>2907</v>
      </c>
      <c r="G109" s="4" t="s">
        <v>638</v>
      </c>
      <c r="H109" s="2" t="s">
        <v>14</v>
      </c>
      <c r="I109" s="7" t="s">
        <v>639</v>
      </c>
      <c r="J109" s="1" t="s">
        <v>41</v>
      </c>
      <c r="K109" s="4" t="s">
        <v>640</v>
      </c>
      <c r="L109" s="4" t="s">
        <v>641</v>
      </c>
      <c r="M109" s="4" t="s">
        <v>642</v>
      </c>
      <c r="N109" s="8" t="str">
        <f t="shared" ca="1" si="1"/>
        <v>17 Tahun, 10 Bulan, 24 Hari</v>
      </c>
    </row>
    <row r="110" spans="1:14" x14ac:dyDescent="0.25">
      <c r="A110" s="1">
        <v>109</v>
      </c>
      <c r="B110" s="1">
        <v>823</v>
      </c>
      <c r="C110" s="4" t="s">
        <v>444</v>
      </c>
      <c r="D110" s="1" t="s">
        <v>113</v>
      </c>
      <c r="E110" s="1" t="s">
        <v>9</v>
      </c>
      <c r="F110" s="4">
        <v>2868</v>
      </c>
      <c r="G110" s="4" t="s">
        <v>643</v>
      </c>
      <c r="H110" s="2" t="s">
        <v>14</v>
      </c>
      <c r="I110" s="7">
        <v>38571</v>
      </c>
      <c r="J110" s="1" t="s">
        <v>41</v>
      </c>
      <c r="K110" s="4" t="s">
        <v>644</v>
      </c>
      <c r="L110" s="4" t="s">
        <v>645</v>
      </c>
      <c r="M110" s="4" t="s">
        <v>497</v>
      </c>
      <c r="N110" s="8" t="str">
        <f t="shared" ca="1" si="1"/>
        <v>19 Tahun, 4 Bulan, 14 Hari</v>
      </c>
    </row>
    <row r="111" spans="1:14" x14ac:dyDescent="0.25">
      <c r="A111" s="1">
        <v>110</v>
      </c>
      <c r="B111" s="1">
        <v>659</v>
      </c>
      <c r="C111" s="4" t="s">
        <v>444</v>
      </c>
      <c r="D111" s="1" t="s">
        <v>128</v>
      </c>
      <c r="E111" s="1" t="s">
        <v>9</v>
      </c>
      <c r="F111" s="4">
        <v>2866</v>
      </c>
      <c r="G111" s="4" t="s">
        <v>646</v>
      </c>
      <c r="H111" s="2" t="s">
        <v>14</v>
      </c>
      <c r="I111" s="7">
        <v>37697</v>
      </c>
      <c r="J111" s="1" t="s">
        <v>41</v>
      </c>
      <c r="K111" s="4" t="s">
        <v>644</v>
      </c>
      <c r="L111" s="4" t="s">
        <v>647</v>
      </c>
      <c r="M111" s="4" t="s">
        <v>648</v>
      </c>
      <c r="N111" s="8" t="str">
        <f t="shared" ca="1" si="1"/>
        <v>21 Tahun, 9 Bulan, 4 Hari</v>
      </c>
    </row>
    <row r="112" spans="1:14" x14ac:dyDescent="0.25">
      <c r="A112" s="1">
        <v>111</v>
      </c>
      <c r="B112" s="1">
        <v>991</v>
      </c>
      <c r="C112" s="4"/>
      <c r="D112" s="1">
        <v>1</v>
      </c>
      <c r="E112" s="1" t="s">
        <v>17</v>
      </c>
      <c r="F112" s="4">
        <v>2536</v>
      </c>
      <c r="G112" s="4" t="s">
        <v>650</v>
      </c>
      <c r="H112" s="2" t="s">
        <v>14</v>
      </c>
      <c r="I112" s="7" t="s">
        <v>651</v>
      </c>
      <c r="J112" s="1" t="s">
        <v>42</v>
      </c>
      <c r="K112" s="4" t="s">
        <v>652</v>
      </c>
      <c r="L112" s="4" t="s">
        <v>415</v>
      </c>
      <c r="M112" s="4" t="s">
        <v>653</v>
      </c>
      <c r="N112" s="8" t="str">
        <f t="shared" ca="1" si="1"/>
        <v>19 Tahun, 7 Bulan, 4 Hari</v>
      </c>
    </row>
    <row r="113" spans="1:14" x14ac:dyDescent="0.25">
      <c r="A113" s="1">
        <v>112</v>
      </c>
      <c r="B113" s="1">
        <v>997</v>
      </c>
      <c r="C113" s="4"/>
      <c r="D113" s="1">
        <v>1</v>
      </c>
      <c r="E113" s="1" t="s">
        <v>17</v>
      </c>
      <c r="F113" s="4">
        <v>2538</v>
      </c>
      <c r="G113" s="4" t="s">
        <v>654</v>
      </c>
      <c r="H113" s="2" t="s">
        <v>14</v>
      </c>
      <c r="I113" s="7" t="s">
        <v>655</v>
      </c>
      <c r="J113" s="1" t="s">
        <v>42</v>
      </c>
      <c r="K113" s="4" t="s">
        <v>656</v>
      </c>
      <c r="L113" s="4" t="s">
        <v>657</v>
      </c>
      <c r="M113" s="4" t="s">
        <v>462</v>
      </c>
      <c r="N113" s="8" t="str">
        <f t="shared" ca="1" si="1"/>
        <v>19 Tahun, 8 Bulan, 15 Hari</v>
      </c>
    </row>
    <row r="114" spans="1:14" x14ac:dyDescent="0.25">
      <c r="A114" s="1">
        <v>113</v>
      </c>
      <c r="B114" s="1">
        <v>977</v>
      </c>
      <c r="C114" s="4"/>
      <c r="D114" s="1">
        <v>1</v>
      </c>
      <c r="E114" s="1" t="s">
        <v>17</v>
      </c>
      <c r="F114" s="4">
        <v>2532</v>
      </c>
      <c r="G114" s="4" t="s">
        <v>664</v>
      </c>
      <c r="H114" s="2" t="s">
        <v>14</v>
      </c>
      <c r="I114" s="7" t="s">
        <v>665</v>
      </c>
      <c r="J114" s="1" t="s">
        <v>42</v>
      </c>
      <c r="K114" s="4" t="s">
        <v>652</v>
      </c>
      <c r="L114" s="4" t="s">
        <v>666</v>
      </c>
      <c r="M114" s="4" t="s">
        <v>667</v>
      </c>
      <c r="N114" s="8" t="str">
        <f t="shared" ca="1" si="1"/>
        <v>20 Tahun, 6 Bulan, 15 Hari</v>
      </c>
    </row>
    <row r="115" spans="1:14" x14ac:dyDescent="0.25">
      <c r="A115" s="1">
        <v>114</v>
      </c>
      <c r="B115" s="1">
        <v>762</v>
      </c>
      <c r="C115" s="4">
        <v>0</v>
      </c>
      <c r="D115" s="1" t="s">
        <v>153</v>
      </c>
      <c r="E115" s="1" t="s">
        <v>9</v>
      </c>
      <c r="F115" s="4">
        <v>2881</v>
      </c>
      <c r="G115" s="4" t="s">
        <v>658</v>
      </c>
      <c r="H115" s="2" t="s">
        <v>14</v>
      </c>
      <c r="I115" s="7">
        <v>38216</v>
      </c>
      <c r="J115" s="1" t="s">
        <v>42</v>
      </c>
      <c r="K115" s="4" t="s">
        <v>659</v>
      </c>
      <c r="L115" s="4" t="s">
        <v>415</v>
      </c>
      <c r="M115" s="4">
        <v>0</v>
      </c>
      <c r="N115" s="8" t="str">
        <f t="shared" ca="1" si="1"/>
        <v>20 Tahun, 4 Bulan, 4 Hari</v>
      </c>
    </row>
    <row r="116" spans="1:14" x14ac:dyDescent="0.25">
      <c r="A116" s="1">
        <v>115</v>
      </c>
      <c r="B116" s="1">
        <v>835</v>
      </c>
      <c r="C116" s="4" t="s">
        <v>444</v>
      </c>
      <c r="D116" s="1" t="s">
        <v>113</v>
      </c>
      <c r="E116" s="1" t="s">
        <v>9</v>
      </c>
      <c r="F116" s="4">
        <v>3496</v>
      </c>
      <c r="G116" s="4" t="s">
        <v>660</v>
      </c>
      <c r="H116" s="2" t="s">
        <v>14</v>
      </c>
      <c r="I116" s="7" t="s">
        <v>661</v>
      </c>
      <c r="J116" s="1" t="s">
        <v>42</v>
      </c>
      <c r="K116" s="4" t="s">
        <v>662</v>
      </c>
      <c r="L116" s="4" t="s">
        <v>150</v>
      </c>
      <c r="M116" s="4" t="s">
        <v>663</v>
      </c>
      <c r="N116" s="8" t="str">
        <f t="shared" ca="1" si="1"/>
        <v>20 Tahun, 5 Bulan, 2 Hari</v>
      </c>
    </row>
    <row r="117" spans="1:14" x14ac:dyDescent="0.25">
      <c r="A117" s="1">
        <v>116</v>
      </c>
      <c r="B117" s="1">
        <v>1008</v>
      </c>
      <c r="C117" s="4"/>
      <c r="D117" s="1" t="s">
        <v>118</v>
      </c>
      <c r="E117" s="1" t="s">
        <v>17</v>
      </c>
      <c r="F117" s="4">
        <v>1516</v>
      </c>
      <c r="G117" s="4" t="s">
        <v>686</v>
      </c>
      <c r="H117" s="2" t="s">
        <v>14</v>
      </c>
      <c r="I117" s="7" t="s">
        <v>687</v>
      </c>
      <c r="J117" s="1" t="s">
        <v>43</v>
      </c>
      <c r="K117" s="4" t="s">
        <v>688</v>
      </c>
      <c r="L117" s="4" t="s">
        <v>689</v>
      </c>
      <c r="M117" s="4">
        <v>0</v>
      </c>
      <c r="N117" s="8" t="str">
        <f t="shared" ca="1" si="1"/>
        <v>17 Tahun, 6 Bulan, 3 Hari</v>
      </c>
    </row>
    <row r="118" spans="1:14" x14ac:dyDescent="0.25">
      <c r="A118" s="1">
        <v>117</v>
      </c>
      <c r="B118" s="1">
        <v>963</v>
      </c>
      <c r="C118" s="4"/>
      <c r="D118" s="1">
        <v>1</v>
      </c>
      <c r="E118" s="1" t="s">
        <v>17</v>
      </c>
      <c r="F118" s="4">
        <v>2115</v>
      </c>
      <c r="G118" s="4" t="s">
        <v>698</v>
      </c>
      <c r="H118" s="2" t="s">
        <v>14</v>
      </c>
      <c r="I118" s="7" t="s">
        <v>699</v>
      </c>
      <c r="J118" s="1" t="s">
        <v>43</v>
      </c>
      <c r="K118" s="4" t="s">
        <v>700</v>
      </c>
      <c r="L118" s="4" t="s">
        <v>701</v>
      </c>
      <c r="M118" s="4" t="s">
        <v>702</v>
      </c>
      <c r="N118" s="8" t="str">
        <f t="shared" ca="1" si="1"/>
        <v>20 Tahun, 0 Bulan, 25 Hari</v>
      </c>
    </row>
    <row r="119" spans="1:14" x14ac:dyDescent="0.25">
      <c r="A119" s="1">
        <v>118</v>
      </c>
      <c r="B119" s="1">
        <v>1070</v>
      </c>
      <c r="C119" s="4"/>
      <c r="D119" s="1" t="s">
        <v>128</v>
      </c>
      <c r="E119" s="1" t="s">
        <v>17</v>
      </c>
      <c r="F119" s="4">
        <v>1591</v>
      </c>
      <c r="G119" s="4" t="s">
        <v>708</v>
      </c>
      <c r="H119" s="2" t="s">
        <v>14</v>
      </c>
      <c r="I119" s="7">
        <v>38481</v>
      </c>
      <c r="J119" s="1" t="s">
        <v>43</v>
      </c>
      <c r="K119" s="4" t="s">
        <v>709</v>
      </c>
      <c r="L119" s="4" t="s">
        <v>641</v>
      </c>
      <c r="M119" s="4" t="s">
        <v>642</v>
      </c>
      <c r="N119" s="8" t="str">
        <f t="shared" ca="1" si="1"/>
        <v>19 Tahun, 7 Bulan, 12 Hari</v>
      </c>
    </row>
    <row r="120" spans="1:14" x14ac:dyDescent="0.25">
      <c r="A120" s="1">
        <v>119</v>
      </c>
      <c r="B120" s="1">
        <v>1104</v>
      </c>
      <c r="C120" s="4"/>
      <c r="D120" s="1" t="s">
        <v>166</v>
      </c>
      <c r="E120" s="1" t="s">
        <v>17</v>
      </c>
      <c r="F120" s="4">
        <v>1568</v>
      </c>
      <c r="G120" s="4" t="s">
        <v>714</v>
      </c>
      <c r="H120" s="2" t="s">
        <v>14</v>
      </c>
      <c r="I120" s="7" t="s">
        <v>715</v>
      </c>
      <c r="J120" s="1" t="s">
        <v>43</v>
      </c>
      <c r="K120" s="4" t="s">
        <v>716</v>
      </c>
      <c r="L120" s="4" t="s">
        <v>717</v>
      </c>
      <c r="M120" s="4" t="s">
        <v>718</v>
      </c>
      <c r="N120" s="8" t="str">
        <f t="shared" ca="1" si="1"/>
        <v>21 Tahun, 1 Bulan, 12 Hari</v>
      </c>
    </row>
    <row r="121" spans="1:14" x14ac:dyDescent="0.25">
      <c r="A121" s="1">
        <v>120</v>
      </c>
      <c r="B121" s="1">
        <v>475</v>
      </c>
      <c r="C121" s="4"/>
      <c r="D121" s="1" t="s">
        <v>110</v>
      </c>
      <c r="E121" s="1" t="s">
        <v>9</v>
      </c>
      <c r="F121" s="4">
        <v>3633</v>
      </c>
      <c r="G121" s="4" t="s">
        <v>676</v>
      </c>
      <c r="H121" s="2" t="s">
        <v>14</v>
      </c>
      <c r="I121" s="7">
        <v>39396</v>
      </c>
      <c r="J121" s="1" t="s">
        <v>43</v>
      </c>
      <c r="K121" s="4" t="s">
        <v>677</v>
      </c>
      <c r="L121" s="4" t="s">
        <v>678</v>
      </c>
      <c r="M121" s="4" t="s">
        <v>679</v>
      </c>
      <c r="N121" s="8" t="str">
        <f t="shared" ca="1" si="1"/>
        <v>17 Tahun, 1 Bulan, 11 Hari</v>
      </c>
    </row>
    <row r="122" spans="1:14" x14ac:dyDescent="0.25">
      <c r="A122" s="1">
        <v>121</v>
      </c>
      <c r="B122" s="1">
        <v>494</v>
      </c>
      <c r="C122" s="4"/>
      <c r="D122" s="1" t="s">
        <v>110</v>
      </c>
      <c r="E122" s="1" t="s">
        <v>9</v>
      </c>
      <c r="F122" s="4">
        <v>3628</v>
      </c>
      <c r="G122" s="4" t="s">
        <v>680</v>
      </c>
      <c r="H122" s="2" t="s">
        <v>14</v>
      </c>
      <c r="I122" s="7">
        <v>39394</v>
      </c>
      <c r="J122" s="1" t="s">
        <v>43</v>
      </c>
      <c r="K122" s="4" t="s">
        <v>681</v>
      </c>
      <c r="L122" s="4" t="s">
        <v>682</v>
      </c>
      <c r="M122" s="4" t="s">
        <v>683</v>
      </c>
      <c r="N122" s="8" t="str">
        <f t="shared" ca="1" si="1"/>
        <v>17 Tahun, 1 Bulan, 13 Hari</v>
      </c>
    </row>
    <row r="123" spans="1:14" x14ac:dyDescent="0.25">
      <c r="A123" s="1">
        <v>122</v>
      </c>
      <c r="B123" s="1">
        <v>811</v>
      </c>
      <c r="C123" s="4"/>
      <c r="D123" s="1" t="s">
        <v>123</v>
      </c>
      <c r="E123" s="1" t="s">
        <v>9</v>
      </c>
      <c r="F123" s="4">
        <v>2829</v>
      </c>
      <c r="G123" s="4" t="s">
        <v>690</v>
      </c>
      <c r="H123" s="2" t="s">
        <v>14</v>
      </c>
      <c r="I123" s="7">
        <v>39225</v>
      </c>
      <c r="J123" s="1" t="s">
        <v>43</v>
      </c>
      <c r="K123" s="4" t="s">
        <v>675</v>
      </c>
      <c r="L123" s="4" t="s">
        <v>691</v>
      </c>
      <c r="M123" s="4" t="s">
        <v>692</v>
      </c>
      <c r="N123" s="8" t="str">
        <f t="shared" ca="1" si="1"/>
        <v>17 Tahun, 6 Bulan, 28 Hari</v>
      </c>
    </row>
    <row r="124" spans="1:14" x14ac:dyDescent="0.25">
      <c r="A124" s="1">
        <v>123</v>
      </c>
      <c r="B124" s="1">
        <v>760</v>
      </c>
      <c r="C124" s="4" t="s">
        <v>444</v>
      </c>
      <c r="D124" s="1" t="s">
        <v>153</v>
      </c>
      <c r="E124" s="1" t="s">
        <v>9</v>
      </c>
      <c r="F124" s="4">
        <v>2545</v>
      </c>
      <c r="G124" s="4" t="s">
        <v>693</v>
      </c>
      <c r="H124" s="2" t="s">
        <v>14</v>
      </c>
      <c r="I124" s="7" t="s">
        <v>694</v>
      </c>
      <c r="J124" s="1" t="s">
        <v>43</v>
      </c>
      <c r="K124" s="4" t="s">
        <v>695</v>
      </c>
      <c r="L124" s="4" t="s">
        <v>696</v>
      </c>
      <c r="M124" s="4" t="s">
        <v>697</v>
      </c>
      <c r="N124" s="8" t="str">
        <f t="shared" ca="1" si="1"/>
        <v>18 Tahun, 9 Bulan, 10 Hari</v>
      </c>
    </row>
    <row r="125" spans="1:14" x14ac:dyDescent="0.25">
      <c r="A125" s="1">
        <v>124</v>
      </c>
      <c r="B125" s="1">
        <v>758</v>
      </c>
      <c r="C125" s="4" t="s">
        <v>444</v>
      </c>
      <c r="D125" s="1" t="s">
        <v>153</v>
      </c>
      <c r="E125" s="1" t="s">
        <v>9</v>
      </c>
      <c r="F125" s="4">
        <v>2772</v>
      </c>
      <c r="G125" s="4" t="s">
        <v>684</v>
      </c>
      <c r="H125" s="2" t="s">
        <v>75</v>
      </c>
      <c r="I125" s="7">
        <v>39083</v>
      </c>
      <c r="J125" s="1" t="s">
        <v>43</v>
      </c>
      <c r="K125" s="4" t="s">
        <v>217</v>
      </c>
      <c r="L125" s="4" t="s">
        <v>459</v>
      </c>
      <c r="M125" s="4" t="s">
        <v>685</v>
      </c>
      <c r="N125" s="8" t="str">
        <f t="shared" ca="1" si="1"/>
        <v>17 Tahun, 11 Bulan, 20 Hari</v>
      </c>
    </row>
    <row r="126" spans="1:14" x14ac:dyDescent="0.25">
      <c r="A126" s="1">
        <v>125</v>
      </c>
      <c r="B126" s="1">
        <v>484</v>
      </c>
      <c r="C126" s="4"/>
      <c r="D126" s="1" t="s">
        <v>110</v>
      </c>
      <c r="E126" s="1" t="s">
        <v>9</v>
      </c>
      <c r="F126" s="4">
        <v>3632</v>
      </c>
      <c r="G126" s="4" t="s">
        <v>703</v>
      </c>
      <c r="H126" s="2" t="s">
        <v>75</v>
      </c>
      <c r="I126" s="7" t="s">
        <v>704</v>
      </c>
      <c r="J126" s="1" t="s">
        <v>43</v>
      </c>
      <c r="K126" s="4" t="s">
        <v>705</v>
      </c>
      <c r="L126" s="4" t="s">
        <v>706</v>
      </c>
      <c r="M126" s="4" t="s">
        <v>707</v>
      </c>
      <c r="N126" s="8" t="str">
        <f t="shared" ca="1" si="1"/>
        <v>19 Tahun, 5 Bulan, 20 Hari</v>
      </c>
    </row>
    <row r="127" spans="1:14" x14ac:dyDescent="0.25">
      <c r="A127" s="1">
        <v>126</v>
      </c>
      <c r="B127" s="1">
        <v>282</v>
      </c>
      <c r="C127" s="4">
        <v>0</v>
      </c>
      <c r="D127" s="1" t="s">
        <v>386</v>
      </c>
      <c r="E127" s="1" t="s">
        <v>15</v>
      </c>
      <c r="F127" s="4">
        <v>2990</v>
      </c>
      <c r="G127" s="4" t="s">
        <v>729</v>
      </c>
      <c r="H127" s="2" t="s">
        <v>149</v>
      </c>
      <c r="I127" s="7">
        <v>39122</v>
      </c>
      <c r="J127" s="1" t="s">
        <v>45</v>
      </c>
      <c r="K127" s="4" t="s">
        <v>730</v>
      </c>
      <c r="L127" s="4" t="s">
        <v>731</v>
      </c>
      <c r="M127" s="4" t="s">
        <v>732</v>
      </c>
      <c r="N127" s="8" t="str">
        <f t="shared" ca="1" si="1"/>
        <v>17 Tahun, 10 Bulan, 12 Hari</v>
      </c>
    </row>
    <row r="128" spans="1:14" x14ac:dyDescent="0.25">
      <c r="A128" s="1">
        <v>127</v>
      </c>
      <c r="B128" s="1">
        <v>295</v>
      </c>
      <c r="C128" s="4">
        <v>0</v>
      </c>
      <c r="D128" s="1" t="s">
        <v>246</v>
      </c>
      <c r="E128" s="1" t="s">
        <v>15</v>
      </c>
      <c r="F128" s="4">
        <v>2987</v>
      </c>
      <c r="G128" s="4" t="s">
        <v>721</v>
      </c>
      <c r="H128" s="2" t="s">
        <v>75</v>
      </c>
      <c r="I128" s="7">
        <v>39343</v>
      </c>
      <c r="J128" s="1" t="s">
        <v>45</v>
      </c>
      <c r="K128" s="4" t="s">
        <v>722</v>
      </c>
      <c r="L128" s="4" t="s">
        <v>277</v>
      </c>
      <c r="M128" s="4" t="s">
        <v>545</v>
      </c>
      <c r="N128" s="8" t="str">
        <f t="shared" ca="1" si="1"/>
        <v>17 Tahun, 3 Bulan, 3 Hari</v>
      </c>
    </row>
    <row r="129" spans="1:14" x14ac:dyDescent="0.25">
      <c r="A129" s="1">
        <v>128</v>
      </c>
      <c r="B129" s="1">
        <v>1016</v>
      </c>
      <c r="C129" s="4"/>
      <c r="D129" s="1" t="s">
        <v>118</v>
      </c>
      <c r="E129" s="1" t="s">
        <v>17</v>
      </c>
      <c r="F129" s="4">
        <v>1545</v>
      </c>
      <c r="G129" s="4" t="s">
        <v>725</v>
      </c>
      <c r="H129" s="2" t="s">
        <v>14</v>
      </c>
      <c r="I129" s="7" t="s">
        <v>726</v>
      </c>
      <c r="J129" s="1" t="s">
        <v>45</v>
      </c>
      <c r="K129" s="4" t="s">
        <v>727</v>
      </c>
      <c r="L129" s="4" t="s">
        <v>728</v>
      </c>
      <c r="M129" s="4" t="s">
        <v>673</v>
      </c>
      <c r="N129" s="8" t="str">
        <f t="shared" ca="1" si="1"/>
        <v>17 Tahun, 9 Bulan, 15 Hari</v>
      </c>
    </row>
    <row r="130" spans="1:14" x14ac:dyDescent="0.25">
      <c r="A130" s="1">
        <v>129</v>
      </c>
      <c r="B130" s="1">
        <v>943</v>
      </c>
      <c r="C130" s="4"/>
      <c r="D130" s="1">
        <v>1</v>
      </c>
      <c r="E130" s="1" t="s">
        <v>17</v>
      </c>
      <c r="F130" s="4">
        <v>2414</v>
      </c>
      <c r="G130" s="4" t="s">
        <v>733</v>
      </c>
      <c r="H130" s="2" t="s">
        <v>14</v>
      </c>
      <c r="I130" s="7" t="s">
        <v>734</v>
      </c>
      <c r="J130" s="1" t="s">
        <v>45</v>
      </c>
      <c r="K130" s="4" t="s">
        <v>735</v>
      </c>
      <c r="L130" s="4" t="s">
        <v>736</v>
      </c>
      <c r="M130" s="4" t="s">
        <v>737</v>
      </c>
      <c r="N130" s="8" t="str">
        <f t="shared" ref="N130:N193" ca="1" si="2">DATEDIF(I130,NOW(),"Y")&amp;" Tahun, "&amp;DATEDIF(I130,NOW(),"YM")&amp;" Bulan, "&amp;DATEDIF(I130,NOW(),"MD")&amp;" Hari"</f>
        <v>18 Tahun, 6 Bulan, 22 Hari</v>
      </c>
    </row>
    <row r="131" spans="1:14" x14ac:dyDescent="0.25">
      <c r="A131" s="1">
        <v>130</v>
      </c>
      <c r="B131" s="1">
        <v>947</v>
      </c>
      <c r="C131" s="4"/>
      <c r="D131" s="1">
        <v>1</v>
      </c>
      <c r="E131" s="1" t="s">
        <v>17</v>
      </c>
      <c r="F131" s="4">
        <v>2911</v>
      </c>
      <c r="G131" s="4" t="s">
        <v>738</v>
      </c>
      <c r="H131" s="2" t="s">
        <v>14</v>
      </c>
      <c r="I131" s="7">
        <v>38631</v>
      </c>
      <c r="J131" s="1" t="s">
        <v>45</v>
      </c>
      <c r="K131" s="4" t="s">
        <v>739</v>
      </c>
      <c r="L131" s="4" t="s">
        <v>740</v>
      </c>
      <c r="M131" s="4" t="s">
        <v>741</v>
      </c>
      <c r="N131" s="8" t="str">
        <f t="shared" ca="1" si="2"/>
        <v>19 Tahun, 2 Bulan, 15 Hari</v>
      </c>
    </row>
    <row r="132" spans="1:14" x14ac:dyDescent="0.25">
      <c r="A132" s="1">
        <v>131</v>
      </c>
      <c r="B132" s="1">
        <v>1040</v>
      </c>
      <c r="C132" s="4"/>
      <c r="D132" s="1" t="s">
        <v>118</v>
      </c>
      <c r="E132" s="1" t="s">
        <v>17</v>
      </c>
      <c r="F132" s="4">
        <v>1606</v>
      </c>
      <c r="G132" s="4" t="s">
        <v>742</v>
      </c>
      <c r="H132" s="2" t="s">
        <v>14</v>
      </c>
      <c r="I132" s="7" t="s">
        <v>743</v>
      </c>
      <c r="J132" s="1" t="s">
        <v>45</v>
      </c>
      <c r="K132" s="4" t="s">
        <v>744</v>
      </c>
      <c r="L132" s="4" t="s">
        <v>745</v>
      </c>
      <c r="M132" s="4" t="s">
        <v>746</v>
      </c>
      <c r="N132" s="8" t="str">
        <f t="shared" ca="1" si="2"/>
        <v>19 Tahun, 8 Bulan, 24 Hari</v>
      </c>
    </row>
    <row r="133" spans="1:14" x14ac:dyDescent="0.25">
      <c r="A133" s="1">
        <v>132</v>
      </c>
      <c r="B133" s="1">
        <v>922</v>
      </c>
      <c r="C133" s="4"/>
      <c r="D133" s="1">
        <v>1</v>
      </c>
      <c r="E133" s="1" t="s">
        <v>17</v>
      </c>
      <c r="F133" s="4">
        <v>2503</v>
      </c>
      <c r="G133" s="4" t="s">
        <v>747</v>
      </c>
      <c r="H133" s="2" t="s">
        <v>14</v>
      </c>
      <c r="I133" s="7" t="s">
        <v>748</v>
      </c>
      <c r="J133" s="1" t="s">
        <v>45</v>
      </c>
      <c r="K133" s="4" t="s">
        <v>749</v>
      </c>
      <c r="L133" s="4" t="s">
        <v>750</v>
      </c>
      <c r="M133" s="4" t="s">
        <v>751</v>
      </c>
      <c r="N133" s="8" t="str">
        <f t="shared" ca="1" si="2"/>
        <v>20 Tahun, 1 Bulan, 28 Hari</v>
      </c>
    </row>
    <row r="134" spans="1:14" x14ac:dyDescent="0.25">
      <c r="A134" s="1">
        <v>133</v>
      </c>
      <c r="B134" s="1">
        <v>885</v>
      </c>
      <c r="C134" s="4"/>
      <c r="D134" s="1">
        <v>1</v>
      </c>
      <c r="E134" s="1" t="s">
        <v>17</v>
      </c>
      <c r="F134" s="4">
        <v>2411</v>
      </c>
      <c r="G134" s="4" t="s">
        <v>752</v>
      </c>
      <c r="H134" s="2" t="s">
        <v>14</v>
      </c>
      <c r="I134" s="7" t="s">
        <v>753</v>
      </c>
      <c r="J134" s="1" t="s">
        <v>45</v>
      </c>
      <c r="K134" s="4" t="s">
        <v>720</v>
      </c>
      <c r="L134" s="4" t="s">
        <v>465</v>
      </c>
      <c r="M134" s="4" t="s">
        <v>754</v>
      </c>
      <c r="N134" s="8" t="str">
        <f t="shared" ca="1" si="2"/>
        <v>20 Tahun, 11 Bulan, 11 Hari</v>
      </c>
    </row>
    <row r="135" spans="1:14" x14ac:dyDescent="0.25">
      <c r="A135" s="1">
        <v>134</v>
      </c>
      <c r="B135" s="1">
        <v>477</v>
      </c>
      <c r="C135" s="4"/>
      <c r="D135" s="1" t="s">
        <v>110</v>
      </c>
      <c r="E135" s="1" t="s">
        <v>9</v>
      </c>
      <c r="F135" s="4">
        <v>3625</v>
      </c>
      <c r="G135" s="4" t="s">
        <v>721</v>
      </c>
      <c r="H135" s="2" t="s">
        <v>75</v>
      </c>
      <c r="I135" s="7">
        <v>39343</v>
      </c>
      <c r="J135" s="1" t="s">
        <v>45</v>
      </c>
      <c r="K135" s="4" t="s">
        <v>722</v>
      </c>
      <c r="L135" s="4" t="s">
        <v>723</v>
      </c>
      <c r="M135" s="4" t="s">
        <v>724</v>
      </c>
      <c r="N135" s="8" t="str">
        <f t="shared" ca="1" si="2"/>
        <v>17 Tahun, 3 Bulan, 3 Hari</v>
      </c>
    </row>
    <row r="136" spans="1:14" x14ac:dyDescent="0.25">
      <c r="A136" s="1">
        <v>135</v>
      </c>
      <c r="B136" s="1">
        <v>949</v>
      </c>
      <c r="C136" s="4"/>
      <c r="D136" s="1">
        <v>1</v>
      </c>
      <c r="E136" s="1" t="s">
        <v>17</v>
      </c>
      <c r="F136" s="4">
        <v>2521</v>
      </c>
      <c r="G136" s="4" t="s">
        <v>758</v>
      </c>
      <c r="H136" s="2" t="s">
        <v>14</v>
      </c>
      <c r="I136" s="7" t="s">
        <v>759</v>
      </c>
      <c r="J136" s="1" t="s">
        <v>46</v>
      </c>
      <c r="K136" s="4" t="s">
        <v>209</v>
      </c>
      <c r="L136" s="4" t="s">
        <v>760</v>
      </c>
      <c r="M136" s="4" t="s">
        <v>761</v>
      </c>
      <c r="N136" s="8" t="str">
        <f t="shared" ca="1" si="2"/>
        <v>18 Tahun, 11 Bulan, 7 Hari</v>
      </c>
    </row>
    <row r="137" spans="1:14" x14ac:dyDescent="0.25">
      <c r="A137" s="1">
        <v>136</v>
      </c>
      <c r="B137" s="1">
        <v>1014</v>
      </c>
      <c r="C137" s="4"/>
      <c r="D137" s="1" t="s">
        <v>118</v>
      </c>
      <c r="E137" s="1" t="s">
        <v>17</v>
      </c>
      <c r="F137" s="4">
        <v>1541</v>
      </c>
      <c r="G137" s="4" t="s">
        <v>762</v>
      </c>
      <c r="H137" s="2" t="s">
        <v>14</v>
      </c>
      <c r="I137" s="7" t="s">
        <v>763</v>
      </c>
      <c r="J137" s="1" t="s">
        <v>46</v>
      </c>
      <c r="K137" s="4" t="s">
        <v>764</v>
      </c>
      <c r="L137" s="4" t="s">
        <v>538</v>
      </c>
      <c r="M137" s="4" t="s">
        <v>765</v>
      </c>
      <c r="N137" s="8" t="str">
        <f t="shared" ca="1" si="2"/>
        <v>18 Tahun, 6 Bulan, 13 Hari</v>
      </c>
    </row>
    <row r="138" spans="1:14" x14ac:dyDescent="0.25">
      <c r="A138" s="1">
        <v>137</v>
      </c>
      <c r="B138" s="1">
        <v>940</v>
      </c>
      <c r="C138" s="4"/>
      <c r="D138" s="1">
        <v>1</v>
      </c>
      <c r="E138" s="1" t="s">
        <v>17</v>
      </c>
      <c r="F138" s="4">
        <v>2466</v>
      </c>
      <c r="G138" s="4" t="s">
        <v>766</v>
      </c>
      <c r="H138" s="2" t="s">
        <v>14</v>
      </c>
      <c r="I138" s="7" t="s">
        <v>767</v>
      </c>
      <c r="J138" s="1" t="s">
        <v>46</v>
      </c>
      <c r="K138" s="4" t="s">
        <v>768</v>
      </c>
      <c r="L138" s="4" t="s">
        <v>769</v>
      </c>
      <c r="M138" s="4" t="s">
        <v>770</v>
      </c>
      <c r="N138" s="8" t="str">
        <f t="shared" ca="1" si="2"/>
        <v>18 Tahun, 6 Bulan, 20 Hari</v>
      </c>
    </row>
    <row r="139" spans="1:14" x14ac:dyDescent="0.25">
      <c r="A139" s="1">
        <v>138</v>
      </c>
      <c r="B139" s="1">
        <v>889</v>
      </c>
      <c r="C139" s="4"/>
      <c r="D139" s="1">
        <v>1</v>
      </c>
      <c r="E139" s="1" t="s">
        <v>17</v>
      </c>
      <c r="F139" s="4">
        <v>3135</v>
      </c>
      <c r="G139" s="4" t="s">
        <v>775</v>
      </c>
      <c r="H139" s="2" t="s">
        <v>14</v>
      </c>
      <c r="I139" s="7">
        <v>38439</v>
      </c>
      <c r="J139" s="1" t="s">
        <v>46</v>
      </c>
      <c r="K139" s="4" t="s">
        <v>209</v>
      </c>
      <c r="L139" s="4" t="s">
        <v>776</v>
      </c>
      <c r="M139" s="4">
        <v>0</v>
      </c>
      <c r="N139" s="8" t="str">
        <f t="shared" ca="1" si="2"/>
        <v>19 Tahun, 8 Bulan, 23 Hari</v>
      </c>
    </row>
    <row r="140" spans="1:14" x14ac:dyDescent="0.25">
      <c r="A140" s="1">
        <v>139</v>
      </c>
      <c r="B140" s="1">
        <v>1109</v>
      </c>
      <c r="C140" s="4"/>
      <c r="D140" s="1" t="s">
        <v>166</v>
      </c>
      <c r="E140" s="1" t="s">
        <v>17</v>
      </c>
      <c r="F140" s="4">
        <v>1597</v>
      </c>
      <c r="G140" s="4" t="s">
        <v>777</v>
      </c>
      <c r="H140" s="2" t="s">
        <v>14</v>
      </c>
      <c r="I140" s="7" t="s">
        <v>778</v>
      </c>
      <c r="J140" s="1" t="s">
        <v>46</v>
      </c>
      <c r="K140" s="4" t="s">
        <v>779</v>
      </c>
      <c r="L140" s="4" t="s">
        <v>780</v>
      </c>
      <c r="M140" s="4" t="s">
        <v>781</v>
      </c>
      <c r="N140" s="8" t="str">
        <f t="shared" ca="1" si="2"/>
        <v>21 Tahun, 2 Bulan, 4 Hari</v>
      </c>
    </row>
    <row r="141" spans="1:14" x14ac:dyDescent="0.25">
      <c r="A141" s="1">
        <v>140</v>
      </c>
      <c r="B141" s="1">
        <v>873</v>
      </c>
      <c r="C141" s="4" t="s">
        <v>444</v>
      </c>
      <c r="D141" s="1" t="s">
        <v>91</v>
      </c>
      <c r="E141" s="1" t="s">
        <v>9</v>
      </c>
      <c r="F141" s="4">
        <v>2814</v>
      </c>
      <c r="G141" s="4" t="s">
        <v>755</v>
      </c>
      <c r="H141" s="2" t="s">
        <v>14</v>
      </c>
      <c r="I141" s="7">
        <v>39063</v>
      </c>
      <c r="J141" s="1" t="s">
        <v>46</v>
      </c>
      <c r="K141" s="4" t="s">
        <v>756</v>
      </c>
      <c r="L141" s="4" t="s">
        <v>97</v>
      </c>
      <c r="M141" s="4" t="s">
        <v>757</v>
      </c>
      <c r="N141" s="8" t="str">
        <f t="shared" ca="1" si="2"/>
        <v>18 Tahun, 0 Bulan, 9 Hari</v>
      </c>
    </row>
    <row r="142" spans="1:14" x14ac:dyDescent="0.25">
      <c r="A142" s="1">
        <v>141</v>
      </c>
      <c r="B142" s="1">
        <v>893</v>
      </c>
      <c r="C142" s="4"/>
      <c r="D142" s="1">
        <v>1</v>
      </c>
      <c r="E142" s="1" t="s">
        <v>17</v>
      </c>
      <c r="F142" s="4">
        <v>2541</v>
      </c>
      <c r="G142" s="4" t="s">
        <v>790</v>
      </c>
      <c r="H142" s="2" t="s">
        <v>14</v>
      </c>
      <c r="I142" s="7" t="s">
        <v>791</v>
      </c>
      <c r="J142" s="1" t="s">
        <v>48</v>
      </c>
      <c r="K142" s="4" t="s">
        <v>540</v>
      </c>
      <c r="L142" s="4" t="s">
        <v>792</v>
      </c>
      <c r="M142" s="4" t="s">
        <v>793</v>
      </c>
      <c r="N142" s="8" t="str">
        <f t="shared" ca="1" si="2"/>
        <v>19 Tahun, 0 Bulan, 14 Hari</v>
      </c>
    </row>
    <row r="143" spans="1:14" x14ac:dyDescent="0.25">
      <c r="A143" s="1">
        <v>142</v>
      </c>
      <c r="B143" s="1">
        <v>987</v>
      </c>
      <c r="C143" s="4"/>
      <c r="D143" s="1">
        <v>1</v>
      </c>
      <c r="E143" s="1" t="s">
        <v>17</v>
      </c>
      <c r="F143" s="4">
        <v>2479</v>
      </c>
      <c r="G143" s="4" t="s">
        <v>794</v>
      </c>
      <c r="H143" s="2" t="s">
        <v>14</v>
      </c>
      <c r="I143" s="7" t="s">
        <v>795</v>
      </c>
      <c r="J143" s="1" t="s">
        <v>48</v>
      </c>
      <c r="K143" s="4" t="s">
        <v>796</v>
      </c>
      <c r="L143" s="4" t="s">
        <v>797</v>
      </c>
      <c r="M143" s="4" t="s">
        <v>798</v>
      </c>
      <c r="N143" s="8" t="str">
        <f t="shared" ca="1" si="2"/>
        <v>18 Tahun, 3 Bulan, 21 Hari</v>
      </c>
    </row>
    <row r="144" spans="1:14" x14ac:dyDescent="0.25">
      <c r="A144" s="1">
        <v>143</v>
      </c>
      <c r="B144" s="1">
        <v>851</v>
      </c>
      <c r="C144" s="4" t="s">
        <v>444</v>
      </c>
      <c r="D144" s="1" t="s">
        <v>91</v>
      </c>
      <c r="E144" s="1" t="s">
        <v>9</v>
      </c>
      <c r="F144" s="4">
        <v>2858</v>
      </c>
      <c r="G144" s="4" t="s">
        <v>782</v>
      </c>
      <c r="H144" s="2" t="s">
        <v>14</v>
      </c>
      <c r="I144" s="7">
        <v>39279</v>
      </c>
      <c r="J144" s="1" t="s">
        <v>48</v>
      </c>
      <c r="K144" s="4" t="s">
        <v>783</v>
      </c>
      <c r="L144" s="4" t="s">
        <v>784</v>
      </c>
      <c r="M144" s="4" t="s">
        <v>785</v>
      </c>
      <c r="N144" s="8" t="str">
        <f t="shared" ca="1" si="2"/>
        <v>17 Tahun, 5 Bulan, 5 Hari</v>
      </c>
    </row>
    <row r="145" spans="1:14" x14ac:dyDescent="0.25">
      <c r="A145" s="1">
        <v>144</v>
      </c>
      <c r="B145" s="1">
        <v>793</v>
      </c>
      <c r="C145" s="4"/>
      <c r="D145" s="1" t="s">
        <v>123</v>
      </c>
      <c r="E145" s="1" t="s">
        <v>9</v>
      </c>
      <c r="F145" s="4">
        <v>3117</v>
      </c>
      <c r="G145" s="4" t="s">
        <v>786</v>
      </c>
      <c r="H145" s="2" t="s">
        <v>14</v>
      </c>
      <c r="I145" s="7">
        <v>38987</v>
      </c>
      <c r="J145" s="1" t="s">
        <v>48</v>
      </c>
      <c r="K145" s="4" t="s">
        <v>787</v>
      </c>
      <c r="L145" s="4" t="s">
        <v>788</v>
      </c>
      <c r="M145" s="4" t="s">
        <v>789</v>
      </c>
      <c r="N145" s="8" t="str">
        <f t="shared" ca="1" si="2"/>
        <v>18 Tahun, 2 Bulan, 24 Hari</v>
      </c>
    </row>
    <row r="146" spans="1:14" x14ac:dyDescent="0.25">
      <c r="A146" s="1">
        <v>145</v>
      </c>
      <c r="B146" s="1">
        <v>629</v>
      </c>
      <c r="C146" s="4" t="s">
        <v>444</v>
      </c>
      <c r="D146" s="1" t="s">
        <v>118</v>
      </c>
      <c r="E146" s="1" t="s">
        <v>9</v>
      </c>
      <c r="F146" s="4">
        <v>2738</v>
      </c>
      <c r="G146" s="4" t="s">
        <v>799</v>
      </c>
      <c r="H146" s="2" t="s">
        <v>14</v>
      </c>
      <c r="I146" s="7" t="s">
        <v>800</v>
      </c>
      <c r="J146" s="1" t="s">
        <v>48</v>
      </c>
      <c r="K146" s="4" t="s">
        <v>801</v>
      </c>
      <c r="L146" s="4" t="s">
        <v>802</v>
      </c>
      <c r="M146" s="4">
        <v>0</v>
      </c>
      <c r="N146" s="8" t="str">
        <f t="shared" ca="1" si="2"/>
        <v>19 Tahun, 4 Bulan, 14 Hari</v>
      </c>
    </row>
    <row r="147" spans="1:14" x14ac:dyDescent="0.25">
      <c r="A147" s="1">
        <v>146</v>
      </c>
      <c r="B147" s="1">
        <v>812</v>
      </c>
      <c r="C147" s="4"/>
      <c r="D147" s="1" t="s">
        <v>123</v>
      </c>
      <c r="E147" s="1" t="s">
        <v>9</v>
      </c>
      <c r="F147" s="4">
        <v>2894</v>
      </c>
      <c r="G147" s="4" t="s">
        <v>803</v>
      </c>
      <c r="H147" s="2" t="s">
        <v>14</v>
      </c>
      <c r="I147" s="7">
        <v>38447</v>
      </c>
      <c r="J147" s="1" t="s">
        <v>48</v>
      </c>
      <c r="K147" s="4" t="s">
        <v>804</v>
      </c>
      <c r="L147" s="4" t="s">
        <v>805</v>
      </c>
      <c r="M147" s="4" t="s">
        <v>510</v>
      </c>
      <c r="N147" s="8" t="str">
        <f t="shared" ca="1" si="2"/>
        <v>19 Tahun, 8 Bulan, 16 Hari</v>
      </c>
    </row>
    <row r="148" spans="1:14" x14ac:dyDescent="0.25">
      <c r="A148" s="1">
        <v>147</v>
      </c>
      <c r="B148" s="1">
        <v>975</v>
      </c>
      <c r="C148" s="4"/>
      <c r="D148" s="1">
        <v>1</v>
      </c>
      <c r="E148" s="1" t="s">
        <v>17</v>
      </c>
      <c r="F148" s="4">
        <v>2456</v>
      </c>
      <c r="G148" s="4" t="s">
        <v>808</v>
      </c>
      <c r="H148" s="2" t="s">
        <v>14</v>
      </c>
      <c r="I148" s="7" t="s">
        <v>809</v>
      </c>
      <c r="J148" s="1" t="s">
        <v>49</v>
      </c>
      <c r="K148" s="4" t="s">
        <v>810</v>
      </c>
      <c r="L148" s="4" t="s">
        <v>811</v>
      </c>
      <c r="M148" s="4">
        <v>0</v>
      </c>
      <c r="N148" s="8" t="str">
        <f t="shared" ca="1" si="2"/>
        <v>17 Tahun, 7 Bulan, 11 Hari</v>
      </c>
    </row>
    <row r="149" spans="1:14" x14ac:dyDescent="0.25">
      <c r="A149" s="1">
        <v>148</v>
      </c>
      <c r="B149" s="1">
        <v>1085</v>
      </c>
      <c r="C149" s="4"/>
      <c r="D149" s="1" t="s">
        <v>166</v>
      </c>
      <c r="E149" s="1" t="s">
        <v>17</v>
      </c>
      <c r="F149" s="4">
        <v>1530</v>
      </c>
      <c r="G149" s="4" t="s">
        <v>815</v>
      </c>
      <c r="H149" s="2" t="s">
        <v>14</v>
      </c>
      <c r="I149" s="7" t="s">
        <v>816</v>
      </c>
      <c r="J149" s="1" t="s">
        <v>49</v>
      </c>
      <c r="K149" s="4" t="s">
        <v>817</v>
      </c>
      <c r="L149" s="4" t="s">
        <v>818</v>
      </c>
      <c r="M149" s="4">
        <v>0</v>
      </c>
      <c r="N149" s="8" t="str">
        <f t="shared" ca="1" si="2"/>
        <v>20 Tahun, 0 Bulan, 25 Hari</v>
      </c>
    </row>
    <row r="150" spans="1:14" x14ac:dyDescent="0.25">
      <c r="A150" s="1">
        <v>149</v>
      </c>
      <c r="B150" s="1">
        <v>927</v>
      </c>
      <c r="C150" s="4"/>
      <c r="D150" s="1">
        <v>1</v>
      </c>
      <c r="E150" s="1" t="s">
        <v>17</v>
      </c>
      <c r="F150" s="4">
        <v>2483</v>
      </c>
      <c r="G150" s="4" t="s">
        <v>819</v>
      </c>
      <c r="H150" s="2" t="s">
        <v>14</v>
      </c>
      <c r="I150" s="7" t="s">
        <v>820</v>
      </c>
      <c r="J150" s="1" t="s">
        <v>49</v>
      </c>
      <c r="K150" s="4" t="s">
        <v>821</v>
      </c>
      <c r="L150" s="4" t="s">
        <v>822</v>
      </c>
      <c r="M150" s="4" t="s">
        <v>823</v>
      </c>
      <c r="N150" s="8" t="str">
        <f t="shared" ca="1" si="2"/>
        <v>21 Tahun, 2 Bulan, 22 Hari</v>
      </c>
    </row>
    <row r="151" spans="1:14" x14ac:dyDescent="0.25">
      <c r="A151" s="1">
        <v>150</v>
      </c>
      <c r="B151" s="1">
        <v>850</v>
      </c>
      <c r="C151" s="4" t="s">
        <v>117</v>
      </c>
      <c r="D151" s="1" t="s">
        <v>91</v>
      </c>
      <c r="E151" s="1" t="s">
        <v>9</v>
      </c>
      <c r="F151" s="4">
        <v>3574</v>
      </c>
      <c r="G151" s="4" t="s">
        <v>806</v>
      </c>
      <c r="H151" s="2" t="s">
        <v>14</v>
      </c>
      <c r="I151" s="7">
        <v>39343</v>
      </c>
      <c r="J151" s="1" t="s">
        <v>49</v>
      </c>
      <c r="K151" s="4" t="s">
        <v>807</v>
      </c>
      <c r="L151" s="4" t="s">
        <v>385</v>
      </c>
      <c r="M151" s="4" t="s">
        <v>109</v>
      </c>
      <c r="N151" s="8" t="str">
        <f t="shared" ca="1" si="2"/>
        <v>17 Tahun, 3 Bulan, 3 Hari</v>
      </c>
    </row>
    <row r="152" spans="1:14" x14ac:dyDescent="0.25">
      <c r="A152" s="1">
        <v>151</v>
      </c>
      <c r="B152" s="1">
        <v>756</v>
      </c>
      <c r="C152" s="4" t="s">
        <v>144</v>
      </c>
      <c r="D152" s="1" t="s">
        <v>153</v>
      </c>
      <c r="E152" s="1" t="s">
        <v>9</v>
      </c>
      <c r="F152" s="4">
        <v>3118</v>
      </c>
      <c r="G152" s="4" t="s">
        <v>812</v>
      </c>
      <c r="H152" s="2" t="s">
        <v>14</v>
      </c>
      <c r="I152" s="7" t="s">
        <v>813</v>
      </c>
      <c r="J152" s="1" t="s">
        <v>49</v>
      </c>
      <c r="K152" s="4" t="s">
        <v>807</v>
      </c>
      <c r="L152" s="4" t="s">
        <v>94</v>
      </c>
      <c r="M152" s="4" t="s">
        <v>814</v>
      </c>
      <c r="N152" s="8" t="str">
        <f t="shared" ca="1" si="2"/>
        <v>17 Tahun, 10 Bulan, 22 Hari</v>
      </c>
    </row>
    <row r="153" spans="1:14" x14ac:dyDescent="0.25">
      <c r="A153" s="1">
        <v>152</v>
      </c>
      <c r="B153" s="1">
        <v>1094</v>
      </c>
      <c r="C153" s="4"/>
      <c r="D153" s="1" t="s">
        <v>166</v>
      </c>
      <c r="E153" s="1" t="s">
        <v>17</v>
      </c>
      <c r="F153" s="4">
        <v>1551</v>
      </c>
      <c r="G153" s="4" t="s">
        <v>832</v>
      </c>
      <c r="H153" s="2" t="s">
        <v>14</v>
      </c>
      <c r="I153" s="7" t="s">
        <v>833</v>
      </c>
      <c r="J153" s="1" t="s">
        <v>50</v>
      </c>
      <c r="K153" s="4" t="s">
        <v>834</v>
      </c>
      <c r="L153" s="4" t="s">
        <v>678</v>
      </c>
      <c r="M153" s="4" t="s">
        <v>679</v>
      </c>
      <c r="N153" s="8" t="str">
        <f t="shared" ca="1" si="2"/>
        <v>20 Tahun, 4 Bulan, 15 Hari</v>
      </c>
    </row>
    <row r="154" spans="1:14" x14ac:dyDescent="0.25">
      <c r="A154" s="1">
        <v>153</v>
      </c>
      <c r="B154" s="1">
        <v>820</v>
      </c>
      <c r="C154" s="4" t="s">
        <v>90</v>
      </c>
      <c r="D154" s="1" t="s">
        <v>113</v>
      </c>
      <c r="E154" s="1" t="s">
        <v>9</v>
      </c>
      <c r="F154" s="4">
        <v>2785</v>
      </c>
      <c r="G154" s="4" t="s">
        <v>828</v>
      </c>
      <c r="H154" s="2" t="s">
        <v>14</v>
      </c>
      <c r="I154" s="7">
        <v>39398</v>
      </c>
      <c r="J154" s="1" t="s">
        <v>50</v>
      </c>
      <c r="K154" s="4" t="s">
        <v>829</v>
      </c>
      <c r="L154" s="4" t="s">
        <v>830</v>
      </c>
      <c r="M154" s="4" t="s">
        <v>831</v>
      </c>
      <c r="N154" s="8" t="str">
        <f t="shared" ca="1" si="2"/>
        <v>17 Tahun, 1 Bulan, 9 Hari</v>
      </c>
    </row>
    <row r="155" spans="1:14" x14ac:dyDescent="0.25">
      <c r="A155" s="1">
        <v>154</v>
      </c>
      <c r="B155" s="1">
        <v>237</v>
      </c>
      <c r="C155" s="4">
        <v>0</v>
      </c>
      <c r="D155" s="1" t="s">
        <v>240</v>
      </c>
      <c r="E155" s="1" t="s">
        <v>15</v>
      </c>
      <c r="F155" s="4">
        <v>3712</v>
      </c>
      <c r="G155" s="4" t="s">
        <v>838</v>
      </c>
      <c r="H155" s="2" t="s">
        <v>149</v>
      </c>
      <c r="I155" s="7">
        <v>39123</v>
      </c>
      <c r="J155" s="1" t="s">
        <v>51</v>
      </c>
      <c r="K155" s="4" t="s">
        <v>839</v>
      </c>
      <c r="L155" s="4" t="s">
        <v>840</v>
      </c>
      <c r="M155" s="4" t="s">
        <v>841</v>
      </c>
      <c r="N155" s="8" t="str">
        <f t="shared" ca="1" si="2"/>
        <v>17 Tahun, 10 Bulan, 11 Hari</v>
      </c>
    </row>
    <row r="156" spans="1:14" x14ac:dyDescent="0.25">
      <c r="A156" s="1">
        <v>155</v>
      </c>
      <c r="B156" s="1">
        <v>759</v>
      </c>
      <c r="C156" s="4" t="s">
        <v>144</v>
      </c>
      <c r="D156" s="1" t="s">
        <v>153</v>
      </c>
      <c r="E156" s="1" t="s">
        <v>9</v>
      </c>
      <c r="F156" s="4">
        <v>3194</v>
      </c>
      <c r="G156" s="4" t="s">
        <v>842</v>
      </c>
      <c r="H156" s="2" t="s">
        <v>14</v>
      </c>
      <c r="I156" s="7">
        <v>38758</v>
      </c>
      <c r="J156" s="1" t="s">
        <v>51</v>
      </c>
      <c r="K156" s="4" t="s">
        <v>843</v>
      </c>
      <c r="L156" s="4" t="s">
        <v>175</v>
      </c>
      <c r="M156" s="4" t="s">
        <v>844</v>
      </c>
      <c r="N156" s="8" t="str">
        <f t="shared" ca="1" si="2"/>
        <v>18 Tahun, 10 Bulan, 11 Hari</v>
      </c>
    </row>
    <row r="157" spans="1:14" x14ac:dyDescent="0.25">
      <c r="A157" s="1">
        <v>156</v>
      </c>
      <c r="B157" s="1">
        <v>1030</v>
      </c>
      <c r="C157" s="4"/>
      <c r="D157" s="1" t="s">
        <v>118</v>
      </c>
      <c r="E157" s="1" t="s">
        <v>17</v>
      </c>
      <c r="F157" s="4">
        <v>1582</v>
      </c>
      <c r="G157" s="4" t="s">
        <v>865</v>
      </c>
      <c r="H157" s="2" t="s">
        <v>14</v>
      </c>
      <c r="I157" s="7" t="s">
        <v>866</v>
      </c>
      <c r="J157" s="1" t="s">
        <v>52</v>
      </c>
      <c r="K157" s="4" t="s">
        <v>867</v>
      </c>
      <c r="L157" s="4" t="s">
        <v>868</v>
      </c>
      <c r="M157" s="4" t="s">
        <v>869</v>
      </c>
      <c r="N157" s="8" t="str">
        <f t="shared" ca="1" si="2"/>
        <v>19 Tahun, 9 Bulan, 7 Hari</v>
      </c>
    </row>
    <row r="158" spans="1:14" x14ac:dyDescent="0.25">
      <c r="A158" s="1">
        <v>157</v>
      </c>
      <c r="B158" s="1">
        <v>1041</v>
      </c>
      <c r="C158" s="4"/>
      <c r="D158" s="1" t="s">
        <v>118</v>
      </c>
      <c r="E158" s="1" t="s">
        <v>17</v>
      </c>
      <c r="F158" s="4">
        <v>1609</v>
      </c>
      <c r="G158" s="4" t="s">
        <v>870</v>
      </c>
      <c r="H158" s="2" t="s">
        <v>14</v>
      </c>
      <c r="I158" s="7" t="s">
        <v>871</v>
      </c>
      <c r="J158" s="1" t="s">
        <v>52</v>
      </c>
      <c r="K158" s="4" t="s">
        <v>872</v>
      </c>
      <c r="L158" s="4" t="s">
        <v>873</v>
      </c>
      <c r="M158" s="4" t="s">
        <v>874</v>
      </c>
      <c r="N158" s="8" t="str">
        <f t="shared" ca="1" si="2"/>
        <v>20 Tahun, 3 Bulan, 0 Hari</v>
      </c>
    </row>
    <row r="159" spans="1:14" x14ac:dyDescent="0.25">
      <c r="A159" s="1">
        <v>158</v>
      </c>
      <c r="B159" s="1">
        <v>1021</v>
      </c>
      <c r="C159" s="4"/>
      <c r="D159" s="1" t="s">
        <v>118</v>
      </c>
      <c r="E159" s="1" t="s">
        <v>17</v>
      </c>
      <c r="F159" s="4">
        <v>1589</v>
      </c>
      <c r="G159" s="4" t="s">
        <v>880</v>
      </c>
      <c r="H159" s="2" t="s">
        <v>14</v>
      </c>
      <c r="I159" s="7" t="s">
        <v>881</v>
      </c>
      <c r="J159" s="1" t="s">
        <v>52</v>
      </c>
      <c r="K159" s="4" t="s">
        <v>882</v>
      </c>
      <c r="L159" s="4" t="s">
        <v>883</v>
      </c>
      <c r="M159" s="4" t="s">
        <v>884</v>
      </c>
      <c r="N159" s="8" t="str">
        <f t="shared" ca="1" si="2"/>
        <v>21 Tahun, 10 Bulan, 0 Hari</v>
      </c>
    </row>
    <row r="160" spans="1:14" x14ac:dyDescent="0.25">
      <c r="A160" s="1">
        <v>159</v>
      </c>
      <c r="B160" s="1">
        <v>1114</v>
      </c>
      <c r="C160" s="4"/>
      <c r="D160" s="1" t="s">
        <v>166</v>
      </c>
      <c r="E160" s="1" t="s">
        <v>17</v>
      </c>
      <c r="F160" s="4">
        <v>1618</v>
      </c>
      <c r="G160" s="4" t="s">
        <v>875</v>
      </c>
      <c r="H160" s="2" t="s">
        <v>75</v>
      </c>
      <c r="I160" s="7" t="s">
        <v>876</v>
      </c>
      <c r="J160" s="1" t="s">
        <v>52</v>
      </c>
      <c r="K160" s="4" t="s">
        <v>877</v>
      </c>
      <c r="L160" s="4" t="s">
        <v>878</v>
      </c>
      <c r="M160" s="4" t="s">
        <v>879</v>
      </c>
      <c r="N160" s="8" t="str">
        <f t="shared" ca="1" si="2"/>
        <v>20 Tahun, 10 Bulan, 7 Hari</v>
      </c>
    </row>
    <row r="161" spans="1:14" x14ac:dyDescent="0.25">
      <c r="A161" s="1">
        <v>160</v>
      </c>
      <c r="B161" s="1">
        <v>805</v>
      </c>
      <c r="C161" s="4"/>
      <c r="D161" s="1" t="s">
        <v>123</v>
      </c>
      <c r="E161" s="1" t="s">
        <v>9</v>
      </c>
      <c r="F161" s="4">
        <v>2776</v>
      </c>
      <c r="G161" s="4" t="s">
        <v>847</v>
      </c>
      <c r="H161" s="2" t="s">
        <v>14</v>
      </c>
      <c r="I161" s="7">
        <v>39318</v>
      </c>
      <c r="J161" s="1" t="s">
        <v>52</v>
      </c>
      <c r="K161" s="4" t="s">
        <v>432</v>
      </c>
      <c r="L161" s="4" t="s">
        <v>848</v>
      </c>
      <c r="M161" s="4" t="s">
        <v>849</v>
      </c>
      <c r="N161" s="8" t="str">
        <f t="shared" ca="1" si="2"/>
        <v>17 Tahun, 3 Bulan, 27 Hari</v>
      </c>
    </row>
    <row r="162" spans="1:14" x14ac:dyDescent="0.25">
      <c r="A162" s="1">
        <v>161</v>
      </c>
      <c r="B162" s="1">
        <v>686</v>
      </c>
      <c r="C162" s="4" t="s">
        <v>144</v>
      </c>
      <c r="D162" s="1" t="s">
        <v>166</v>
      </c>
      <c r="E162" s="1" t="s">
        <v>9</v>
      </c>
      <c r="F162" s="4">
        <v>3290</v>
      </c>
      <c r="G162" s="4" t="s">
        <v>855</v>
      </c>
      <c r="H162" s="2" t="s">
        <v>14</v>
      </c>
      <c r="I162" s="7" t="s">
        <v>856</v>
      </c>
      <c r="J162" s="1" t="s">
        <v>52</v>
      </c>
      <c r="K162" s="4" t="s">
        <v>857</v>
      </c>
      <c r="L162" s="4" t="s">
        <v>858</v>
      </c>
      <c r="M162" s="4" t="s">
        <v>674</v>
      </c>
      <c r="N162" s="8" t="str">
        <f t="shared" ca="1" si="2"/>
        <v>17 Tahun, 5 Bulan, 10 Hari</v>
      </c>
    </row>
    <row r="163" spans="1:14" x14ac:dyDescent="0.25">
      <c r="A163" s="1">
        <v>162</v>
      </c>
      <c r="B163" s="1">
        <v>861</v>
      </c>
      <c r="C163" s="4" t="s">
        <v>117</v>
      </c>
      <c r="D163" s="1" t="s">
        <v>91</v>
      </c>
      <c r="E163" s="1" t="s">
        <v>9</v>
      </c>
      <c r="F163" s="4">
        <v>2821</v>
      </c>
      <c r="G163" s="4" t="s">
        <v>859</v>
      </c>
      <c r="H163" s="2" t="s">
        <v>14</v>
      </c>
      <c r="I163" s="7">
        <v>39166</v>
      </c>
      <c r="J163" s="1" t="s">
        <v>52</v>
      </c>
      <c r="K163" s="4" t="s">
        <v>845</v>
      </c>
      <c r="L163" s="4" t="s">
        <v>860</v>
      </c>
      <c r="M163" s="4" t="s">
        <v>861</v>
      </c>
      <c r="N163" s="8" t="str">
        <f t="shared" ca="1" si="2"/>
        <v>17 Tahun, 8 Bulan, 26 Hari</v>
      </c>
    </row>
    <row r="164" spans="1:14" x14ac:dyDescent="0.25">
      <c r="A164" s="1">
        <v>163</v>
      </c>
      <c r="B164" s="1">
        <v>780</v>
      </c>
      <c r="C164" s="4">
        <v>0</v>
      </c>
      <c r="D164" s="1" t="s">
        <v>153</v>
      </c>
      <c r="E164" s="1" t="s">
        <v>9</v>
      </c>
      <c r="F164" s="4">
        <v>2784</v>
      </c>
      <c r="G164" s="4" t="s">
        <v>862</v>
      </c>
      <c r="H164" s="2" t="s">
        <v>14</v>
      </c>
      <c r="I164" s="7">
        <v>38875</v>
      </c>
      <c r="J164" s="1" t="s">
        <v>52</v>
      </c>
      <c r="K164" s="4" t="s">
        <v>863</v>
      </c>
      <c r="L164" s="4" t="s">
        <v>864</v>
      </c>
      <c r="M164" s="4" t="s">
        <v>637</v>
      </c>
      <c r="N164" s="8" t="str">
        <f t="shared" ca="1" si="2"/>
        <v>18 Tahun, 6 Bulan, 14 Hari</v>
      </c>
    </row>
    <row r="165" spans="1:14" x14ac:dyDescent="0.25">
      <c r="A165" s="1">
        <v>164</v>
      </c>
      <c r="B165" s="1">
        <v>300</v>
      </c>
      <c r="C165" s="4">
        <v>0</v>
      </c>
      <c r="D165" s="1" t="s">
        <v>246</v>
      </c>
      <c r="E165" s="1" t="s">
        <v>15</v>
      </c>
      <c r="F165" s="4">
        <v>3239</v>
      </c>
      <c r="G165" s="4" t="s">
        <v>897</v>
      </c>
      <c r="H165" s="2" t="s">
        <v>149</v>
      </c>
      <c r="I165" s="7">
        <v>39341</v>
      </c>
      <c r="J165" s="1" t="s">
        <v>53</v>
      </c>
      <c r="K165" s="4" t="s">
        <v>898</v>
      </c>
      <c r="L165" s="4" t="s">
        <v>338</v>
      </c>
      <c r="M165" s="4" t="s">
        <v>899</v>
      </c>
      <c r="N165" s="8" t="str">
        <f t="shared" ca="1" si="2"/>
        <v>17 Tahun, 3 Bulan, 5 Hari</v>
      </c>
    </row>
    <row r="166" spans="1:14" x14ac:dyDescent="0.25">
      <c r="A166" s="1">
        <v>165</v>
      </c>
      <c r="B166" s="1">
        <v>285</v>
      </c>
      <c r="C166" s="4">
        <v>0</v>
      </c>
      <c r="D166" s="1" t="s">
        <v>386</v>
      </c>
      <c r="E166" s="1" t="s">
        <v>15</v>
      </c>
      <c r="F166" s="4">
        <v>3000</v>
      </c>
      <c r="G166" s="4" t="s">
        <v>903</v>
      </c>
      <c r="H166" s="2" t="s">
        <v>149</v>
      </c>
      <c r="I166" s="7">
        <v>39174</v>
      </c>
      <c r="J166" s="1" t="s">
        <v>53</v>
      </c>
      <c r="K166" s="4" t="s">
        <v>887</v>
      </c>
      <c r="L166" s="4" t="s">
        <v>904</v>
      </c>
      <c r="M166" s="4" t="s">
        <v>905</v>
      </c>
      <c r="N166" s="8" t="str">
        <f t="shared" ca="1" si="2"/>
        <v>17 Tahun, 8 Bulan, 19 Hari</v>
      </c>
    </row>
    <row r="167" spans="1:14" x14ac:dyDescent="0.25">
      <c r="A167" s="1">
        <v>166</v>
      </c>
      <c r="B167" s="1">
        <v>304</v>
      </c>
      <c r="C167" s="4">
        <v>0</v>
      </c>
      <c r="D167" s="1" t="s">
        <v>246</v>
      </c>
      <c r="E167" s="1" t="s">
        <v>15</v>
      </c>
      <c r="F167" s="4">
        <v>3000</v>
      </c>
      <c r="G167" s="4" t="s">
        <v>903</v>
      </c>
      <c r="H167" s="2" t="s">
        <v>149</v>
      </c>
      <c r="I167" s="7">
        <v>39174</v>
      </c>
      <c r="J167" s="1" t="s">
        <v>53</v>
      </c>
      <c r="K167" s="4" t="s">
        <v>887</v>
      </c>
      <c r="L167" s="4" t="s">
        <v>241</v>
      </c>
      <c r="M167" s="4" t="s">
        <v>906</v>
      </c>
      <c r="N167" s="8" t="str">
        <f t="shared" ca="1" si="2"/>
        <v>17 Tahun, 8 Bulan, 19 Hari</v>
      </c>
    </row>
    <row r="168" spans="1:14" x14ac:dyDescent="0.25">
      <c r="A168" s="1">
        <v>167</v>
      </c>
      <c r="B168" s="1">
        <v>1023</v>
      </c>
      <c r="C168" s="4"/>
      <c r="D168" s="1" t="s">
        <v>118</v>
      </c>
      <c r="E168" s="1" t="s">
        <v>17</v>
      </c>
      <c r="F168" s="4">
        <v>1566</v>
      </c>
      <c r="G168" s="4" t="s">
        <v>892</v>
      </c>
      <c r="H168" s="2" t="s">
        <v>14</v>
      </c>
      <c r="I168" s="7" t="s">
        <v>893</v>
      </c>
      <c r="J168" s="1" t="s">
        <v>53</v>
      </c>
      <c r="K168" s="4" t="s">
        <v>894</v>
      </c>
      <c r="L168" s="4" t="s">
        <v>895</v>
      </c>
      <c r="M168" s="4" t="s">
        <v>896</v>
      </c>
      <c r="N168" s="8" t="str">
        <f t="shared" ca="1" si="2"/>
        <v>18 Tahun, 0 Bulan, 16 Hari</v>
      </c>
    </row>
    <row r="169" spans="1:14" x14ac:dyDescent="0.25">
      <c r="A169" s="1">
        <v>168</v>
      </c>
      <c r="B169" s="1">
        <v>989</v>
      </c>
      <c r="C169" s="4"/>
      <c r="D169" s="1">
        <v>1</v>
      </c>
      <c r="E169" s="1" t="s">
        <v>17</v>
      </c>
      <c r="F169" s="4">
        <v>2905</v>
      </c>
      <c r="G169" s="4" t="s">
        <v>909</v>
      </c>
      <c r="H169" s="2" t="s">
        <v>14</v>
      </c>
      <c r="I169" s="7">
        <v>38322</v>
      </c>
      <c r="J169" s="1" t="s">
        <v>53</v>
      </c>
      <c r="K169" s="4" t="s">
        <v>910</v>
      </c>
      <c r="L169" s="4" t="s">
        <v>911</v>
      </c>
      <c r="M169" s="4" t="s">
        <v>912</v>
      </c>
      <c r="N169" s="8" t="str">
        <f t="shared" ca="1" si="2"/>
        <v>20 Tahun, 0 Bulan, 20 Hari</v>
      </c>
    </row>
    <row r="170" spans="1:14" x14ac:dyDescent="0.25">
      <c r="A170" s="1">
        <v>169</v>
      </c>
      <c r="B170" s="1">
        <v>992</v>
      </c>
      <c r="C170" s="4"/>
      <c r="D170" s="1">
        <v>1</v>
      </c>
      <c r="E170" s="1" t="s">
        <v>17</v>
      </c>
      <c r="F170" s="4">
        <v>2488</v>
      </c>
      <c r="G170" s="4" t="s">
        <v>913</v>
      </c>
      <c r="H170" s="2" t="s">
        <v>14</v>
      </c>
      <c r="I170" s="7" t="s">
        <v>772</v>
      </c>
      <c r="J170" s="1" t="s">
        <v>53</v>
      </c>
      <c r="K170" s="4" t="s">
        <v>914</v>
      </c>
      <c r="L170" s="4" t="s">
        <v>915</v>
      </c>
      <c r="M170" s="4" t="s">
        <v>916</v>
      </c>
      <c r="N170" s="8" t="str">
        <f t="shared" ca="1" si="2"/>
        <v>19 Tahun, 7 Bulan, 5 Hari</v>
      </c>
    </row>
    <row r="171" spans="1:14" x14ac:dyDescent="0.25">
      <c r="A171" s="1">
        <v>170</v>
      </c>
      <c r="B171" s="1">
        <v>931</v>
      </c>
      <c r="C171" s="4"/>
      <c r="D171" s="1">
        <v>1</v>
      </c>
      <c r="E171" s="1" t="s">
        <v>17</v>
      </c>
      <c r="F171" s="4">
        <v>2457</v>
      </c>
      <c r="G171" s="4" t="s">
        <v>917</v>
      </c>
      <c r="H171" s="2" t="s">
        <v>14</v>
      </c>
      <c r="I171" s="7" t="s">
        <v>918</v>
      </c>
      <c r="J171" s="1" t="s">
        <v>53</v>
      </c>
      <c r="K171" s="4" t="s">
        <v>735</v>
      </c>
      <c r="L171" s="4" t="s">
        <v>919</v>
      </c>
      <c r="M171" s="4" t="s">
        <v>920</v>
      </c>
      <c r="N171" s="8" t="str">
        <f t="shared" ca="1" si="2"/>
        <v>19 Tahun, 10 Bulan, 16 Hari</v>
      </c>
    </row>
    <row r="172" spans="1:14" x14ac:dyDescent="0.25">
      <c r="A172" s="1">
        <v>171</v>
      </c>
      <c r="B172" s="1">
        <v>1020</v>
      </c>
      <c r="C172" s="4"/>
      <c r="D172" s="1" t="s">
        <v>118</v>
      </c>
      <c r="E172" s="1" t="s">
        <v>17</v>
      </c>
      <c r="F172" s="4">
        <v>1554</v>
      </c>
      <c r="G172" s="4" t="s">
        <v>925</v>
      </c>
      <c r="H172" s="2" t="s">
        <v>14</v>
      </c>
      <c r="I172" s="7" t="s">
        <v>926</v>
      </c>
      <c r="J172" s="1" t="s">
        <v>53</v>
      </c>
      <c r="K172" s="4" t="s">
        <v>927</v>
      </c>
      <c r="L172" s="4" t="s">
        <v>928</v>
      </c>
      <c r="M172" s="4" t="s">
        <v>929</v>
      </c>
      <c r="N172" s="8" t="str">
        <f t="shared" ca="1" si="2"/>
        <v>20 Tahun, 7 Bulan, 24 Hari</v>
      </c>
    </row>
    <row r="173" spans="1:14" x14ac:dyDescent="0.25">
      <c r="A173" s="1">
        <v>172</v>
      </c>
      <c r="B173" s="1">
        <v>1113</v>
      </c>
      <c r="C173" s="4"/>
      <c r="D173" s="1" t="s">
        <v>166</v>
      </c>
      <c r="E173" s="1" t="s">
        <v>17</v>
      </c>
      <c r="F173" s="4">
        <v>1616</v>
      </c>
      <c r="G173" s="4" t="s">
        <v>921</v>
      </c>
      <c r="H173" s="2" t="s">
        <v>75</v>
      </c>
      <c r="I173" s="7" t="s">
        <v>922</v>
      </c>
      <c r="J173" s="1" t="s">
        <v>53</v>
      </c>
      <c r="K173" s="4" t="s">
        <v>518</v>
      </c>
      <c r="L173" s="4" t="s">
        <v>923</v>
      </c>
      <c r="M173" s="4" t="s">
        <v>924</v>
      </c>
      <c r="N173" s="8" t="str">
        <f t="shared" ca="1" si="2"/>
        <v>20 Tahun, 3 Bulan, 13 Hari</v>
      </c>
    </row>
    <row r="174" spans="1:14" x14ac:dyDescent="0.25">
      <c r="A174" s="1">
        <v>173</v>
      </c>
      <c r="B174" s="1">
        <v>877</v>
      </c>
      <c r="C174" s="4" t="s">
        <v>444</v>
      </c>
      <c r="D174" s="1" t="s">
        <v>91</v>
      </c>
      <c r="E174" s="1" t="s">
        <v>9</v>
      </c>
      <c r="F174" s="4">
        <v>2893</v>
      </c>
      <c r="G174" s="4" t="s">
        <v>870</v>
      </c>
      <c r="H174" s="2" t="s">
        <v>14</v>
      </c>
      <c r="I174" s="7">
        <v>38771</v>
      </c>
      <c r="J174" s="1" t="s">
        <v>53</v>
      </c>
      <c r="K174" s="4" t="s">
        <v>885</v>
      </c>
      <c r="L174" s="4" t="s">
        <v>907</v>
      </c>
      <c r="M174" s="4" t="s">
        <v>908</v>
      </c>
      <c r="N174" s="8" t="str">
        <f t="shared" ca="1" si="2"/>
        <v>18 Tahun, 9 Bulan, 28 Hari</v>
      </c>
    </row>
    <row r="175" spans="1:14" x14ac:dyDescent="0.25">
      <c r="A175" s="1">
        <v>174</v>
      </c>
      <c r="B175" s="1">
        <v>545</v>
      </c>
      <c r="C175" s="4" t="s">
        <v>117</v>
      </c>
      <c r="D175" s="1" t="s">
        <v>206</v>
      </c>
      <c r="E175" s="1" t="s">
        <v>9</v>
      </c>
      <c r="F175" s="4">
        <v>3688</v>
      </c>
      <c r="G175" s="4" t="s">
        <v>900</v>
      </c>
      <c r="H175" s="2" t="s">
        <v>149</v>
      </c>
      <c r="I175" s="7" t="s">
        <v>901</v>
      </c>
      <c r="J175" s="1" t="s">
        <v>53</v>
      </c>
      <c r="K175" s="4" t="s">
        <v>902</v>
      </c>
      <c r="L175" s="4" t="s">
        <v>241</v>
      </c>
      <c r="M175" s="4" t="s">
        <v>93</v>
      </c>
      <c r="N175" s="8" t="str">
        <f t="shared" ca="1" si="2"/>
        <v>17 Tahun, 5 Bulan, 16 Hari</v>
      </c>
    </row>
    <row r="176" spans="1:14" x14ac:dyDescent="0.25">
      <c r="A176" s="1">
        <v>175</v>
      </c>
      <c r="B176" s="1">
        <v>1005</v>
      </c>
      <c r="C176" s="4"/>
      <c r="D176" s="1">
        <v>1</v>
      </c>
      <c r="E176" s="1" t="s">
        <v>17</v>
      </c>
      <c r="F176" s="4">
        <v>2547</v>
      </c>
      <c r="G176" s="4" t="s">
        <v>935</v>
      </c>
      <c r="H176" s="2" t="s">
        <v>14</v>
      </c>
      <c r="I176" s="7" t="s">
        <v>936</v>
      </c>
      <c r="J176" s="1" t="s">
        <v>54</v>
      </c>
      <c r="K176" s="4" t="s">
        <v>937</v>
      </c>
      <c r="L176" s="4" t="s">
        <v>938</v>
      </c>
      <c r="M176" s="4" t="s">
        <v>939</v>
      </c>
      <c r="N176" s="8" t="str">
        <f t="shared" ca="1" si="2"/>
        <v>19 Tahun, 3 Bulan, 9 Hari</v>
      </c>
    </row>
    <row r="177" spans="1:14" x14ac:dyDescent="0.25">
      <c r="A177" s="1">
        <v>176</v>
      </c>
      <c r="B177" s="1">
        <v>1066</v>
      </c>
      <c r="C177" s="4"/>
      <c r="D177" s="1" t="s">
        <v>128</v>
      </c>
      <c r="E177" s="1" t="s">
        <v>17</v>
      </c>
      <c r="F177" s="4">
        <v>1581</v>
      </c>
      <c r="G177" s="4" t="s">
        <v>940</v>
      </c>
      <c r="H177" s="2" t="s">
        <v>14</v>
      </c>
      <c r="I177" s="7" t="s">
        <v>941</v>
      </c>
      <c r="J177" s="1" t="s">
        <v>54</v>
      </c>
      <c r="K177" s="4" t="s">
        <v>942</v>
      </c>
      <c r="L177" s="4" t="s">
        <v>943</v>
      </c>
      <c r="M177" s="4" t="s">
        <v>944</v>
      </c>
      <c r="N177" s="8" t="str">
        <f t="shared" ca="1" si="2"/>
        <v>21 Tahun, 2 Bulan, 28 Hari</v>
      </c>
    </row>
    <row r="178" spans="1:14" x14ac:dyDescent="0.25">
      <c r="A178" s="1">
        <v>177</v>
      </c>
      <c r="B178" s="1">
        <v>476</v>
      </c>
      <c r="C178" s="4"/>
      <c r="D178" s="1" t="s">
        <v>110</v>
      </c>
      <c r="E178" s="1" t="s">
        <v>9</v>
      </c>
      <c r="F178" s="4">
        <v>3630</v>
      </c>
      <c r="G178" s="4" t="s">
        <v>930</v>
      </c>
      <c r="H178" s="2" t="s">
        <v>14</v>
      </c>
      <c r="I178" s="7" t="s">
        <v>931</v>
      </c>
      <c r="J178" s="1" t="s">
        <v>54</v>
      </c>
      <c r="K178" s="4" t="s">
        <v>932</v>
      </c>
      <c r="L178" s="4" t="s">
        <v>933</v>
      </c>
      <c r="M178" s="4" t="s">
        <v>934</v>
      </c>
      <c r="N178" s="8" t="str">
        <f t="shared" ca="1" si="2"/>
        <v>18 Tahun, 11 Bulan, 20 Hari</v>
      </c>
    </row>
    <row r="179" spans="1:14" x14ac:dyDescent="0.25">
      <c r="A179" s="1">
        <v>178</v>
      </c>
      <c r="B179" s="1">
        <v>296</v>
      </c>
      <c r="C179" s="4">
        <v>0</v>
      </c>
      <c r="D179" s="1" t="s">
        <v>246</v>
      </c>
      <c r="E179" s="1" t="s">
        <v>15</v>
      </c>
      <c r="F179" s="4">
        <v>3254</v>
      </c>
      <c r="G179" s="4" t="s">
        <v>974</v>
      </c>
      <c r="H179" s="2" t="s">
        <v>149</v>
      </c>
      <c r="I179" s="7">
        <v>38914</v>
      </c>
      <c r="J179" s="1" t="s">
        <v>55</v>
      </c>
      <c r="K179" s="4" t="s">
        <v>975</v>
      </c>
      <c r="L179" s="4" t="s">
        <v>477</v>
      </c>
      <c r="M179" s="4" t="s">
        <v>976</v>
      </c>
      <c r="N179" s="8" t="str">
        <f t="shared" ca="1" si="2"/>
        <v>18 Tahun, 5 Bulan, 5 Hari</v>
      </c>
    </row>
    <row r="180" spans="1:14" x14ac:dyDescent="0.25">
      <c r="A180" s="1">
        <v>179</v>
      </c>
      <c r="B180" s="1">
        <v>941</v>
      </c>
      <c r="C180" s="4"/>
      <c r="D180" s="1">
        <v>1</v>
      </c>
      <c r="E180" s="1" t="s">
        <v>17</v>
      </c>
      <c r="F180" s="4">
        <v>2467</v>
      </c>
      <c r="G180" s="4" t="s">
        <v>947</v>
      </c>
      <c r="H180" s="2" t="s">
        <v>14</v>
      </c>
      <c r="I180" s="7" t="s">
        <v>948</v>
      </c>
      <c r="J180" s="1" t="s">
        <v>55</v>
      </c>
      <c r="K180" s="4" t="s">
        <v>949</v>
      </c>
      <c r="L180" s="4" t="s">
        <v>950</v>
      </c>
      <c r="M180" s="4" t="s">
        <v>951</v>
      </c>
      <c r="N180" s="8" t="str">
        <f t="shared" ca="1" si="2"/>
        <v>17 Tahun, 11 Bulan, 4 Hari</v>
      </c>
    </row>
    <row r="181" spans="1:14" x14ac:dyDescent="0.25">
      <c r="A181" s="1">
        <v>180</v>
      </c>
      <c r="B181" s="1">
        <v>1097</v>
      </c>
      <c r="C181" s="4"/>
      <c r="D181" s="1" t="s">
        <v>166</v>
      </c>
      <c r="E181" s="1" t="s">
        <v>17</v>
      </c>
      <c r="F181" s="4">
        <v>1557</v>
      </c>
      <c r="G181" s="4" t="s">
        <v>952</v>
      </c>
      <c r="H181" s="2" t="s">
        <v>14</v>
      </c>
      <c r="I181" s="7" t="s">
        <v>953</v>
      </c>
      <c r="J181" s="1" t="s">
        <v>55</v>
      </c>
      <c r="K181" s="4" t="s">
        <v>954</v>
      </c>
      <c r="L181" s="4" t="s">
        <v>955</v>
      </c>
      <c r="M181" s="4" t="s">
        <v>956</v>
      </c>
      <c r="N181" s="8" t="str">
        <f t="shared" ca="1" si="2"/>
        <v>18 Tahun, 1 Bulan, 28 Hari</v>
      </c>
    </row>
    <row r="182" spans="1:14" x14ac:dyDescent="0.25">
      <c r="A182" s="1">
        <v>181</v>
      </c>
      <c r="B182" s="1">
        <v>1083</v>
      </c>
      <c r="C182" s="4"/>
      <c r="D182" s="1" t="s">
        <v>166</v>
      </c>
      <c r="E182" s="1" t="s">
        <v>17</v>
      </c>
      <c r="F182" s="4">
        <v>1521</v>
      </c>
      <c r="G182" s="4" t="s">
        <v>957</v>
      </c>
      <c r="H182" s="2" t="s">
        <v>14</v>
      </c>
      <c r="I182" s="7" t="s">
        <v>958</v>
      </c>
      <c r="J182" s="1" t="s">
        <v>55</v>
      </c>
      <c r="K182" s="4" t="s">
        <v>959</v>
      </c>
      <c r="L182" s="4" t="s">
        <v>960</v>
      </c>
      <c r="M182" s="4" t="s">
        <v>961</v>
      </c>
      <c r="N182" s="8" t="str">
        <f t="shared" ca="1" si="2"/>
        <v>18 Tahun, 2 Bulan, 7 Hari</v>
      </c>
    </row>
    <row r="183" spans="1:14" x14ac:dyDescent="0.25">
      <c r="A183" s="1">
        <v>182</v>
      </c>
      <c r="B183" s="1">
        <v>982</v>
      </c>
      <c r="C183" s="4"/>
      <c r="D183" s="1">
        <v>1</v>
      </c>
      <c r="E183" s="1" t="s">
        <v>17</v>
      </c>
      <c r="F183" s="4">
        <v>2501</v>
      </c>
      <c r="G183" s="4" t="s">
        <v>962</v>
      </c>
      <c r="H183" s="2" t="s">
        <v>14</v>
      </c>
      <c r="I183" s="7" t="s">
        <v>963</v>
      </c>
      <c r="J183" s="1" t="s">
        <v>55</v>
      </c>
      <c r="K183" s="4" t="s">
        <v>964</v>
      </c>
      <c r="L183" s="4" t="s">
        <v>241</v>
      </c>
      <c r="M183" s="4">
        <v>0</v>
      </c>
      <c r="N183" s="8" t="str">
        <f t="shared" ca="1" si="2"/>
        <v>18 Tahun, 11 Bulan, 23 Hari</v>
      </c>
    </row>
    <row r="184" spans="1:14" x14ac:dyDescent="0.25">
      <c r="A184" s="1">
        <v>183</v>
      </c>
      <c r="B184" s="1">
        <v>961</v>
      </c>
      <c r="C184" s="4"/>
      <c r="D184" s="1">
        <v>1</v>
      </c>
      <c r="E184" s="1" t="s">
        <v>17</v>
      </c>
      <c r="F184" s="4">
        <v>2335</v>
      </c>
      <c r="G184" s="4" t="s">
        <v>199</v>
      </c>
      <c r="H184" s="2" t="s">
        <v>14</v>
      </c>
      <c r="I184" s="7" t="s">
        <v>978</v>
      </c>
      <c r="J184" s="1" t="s">
        <v>55</v>
      </c>
      <c r="K184" s="4" t="s">
        <v>979</v>
      </c>
      <c r="L184" s="4" t="s">
        <v>980</v>
      </c>
      <c r="M184" s="4" t="s">
        <v>981</v>
      </c>
      <c r="N184" s="8" t="str">
        <f t="shared" ca="1" si="2"/>
        <v>19 Tahun, 4 Bulan, 6 Hari</v>
      </c>
    </row>
    <row r="185" spans="1:14" x14ac:dyDescent="0.25">
      <c r="A185" s="1">
        <v>184</v>
      </c>
      <c r="B185" s="1">
        <v>1076</v>
      </c>
      <c r="C185" s="4"/>
      <c r="D185" s="1" t="s">
        <v>128</v>
      </c>
      <c r="E185" s="1" t="s">
        <v>17</v>
      </c>
      <c r="F185" s="4">
        <v>1608</v>
      </c>
      <c r="G185" s="4" t="s">
        <v>982</v>
      </c>
      <c r="H185" s="2" t="s">
        <v>14</v>
      </c>
      <c r="I185" s="7" t="s">
        <v>983</v>
      </c>
      <c r="J185" s="1" t="s">
        <v>55</v>
      </c>
      <c r="K185" s="4" t="s">
        <v>984</v>
      </c>
      <c r="L185" s="4" t="s">
        <v>985</v>
      </c>
      <c r="M185" s="4" t="s">
        <v>986</v>
      </c>
      <c r="N185" s="8" t="str">
        <f t="shared" ca="1" si="2"/>
        <v>20 Tahun, 1 Bulan, 10 Hari</v>
      </c>
    </row>
    <row r="186" spans="1:14" x14ac:dyDescent="0.25">
      <c r="A186" s="1">
        <v>185</v>
      </c>
      <c r="B186" s="1">
        <v>620</v>
      </c>
      <c r="C186" s="4" t="s">
        <v>144</v>
      </c>
      <c r="D186" s="1" t="s">
        <v>118</v>
      </c>
      <c r="E186" s="1" t="s">
        <v>9</v>
      </c>
      <c r="F186" s="4">
        <v>3759</v>
      </c>
      <c r="G186" s="4" t="s">
        <v>965</v>
      </c>
      <c r="H186" s="2" t="s">
        <v>14</v>
      </c>
      <c r="I186" s="7" t="s">
        <v>966</v>
      </c>
      <c r="J186" s="1" t="s">
        <v>55</v>
      </c>
      <c r="K186" s="4" t="s">
        <v>967</v>
      </c>
      <c r="L186" s="4" t="s">
        <v>968</v>
      </c>
      <c r="M186" s="4" t="s">
        <v>969</v>
      </c>
      <c r="N186" s="8" t="str">
        <f t="shared" ca="1" si="2"/>
        <v>18 Tahun, 3 Bulan, 18 Hari</v>
      </c>
    </row>
    <row r="187" spans="1:14" x14ac:dyDescent="0.25">
      <c r="A187" s="1">
        <v>186</v>
      </c>
      <c r="B187" s="1">
        <v>695</v>
      </c>
      <c r="C187" s="4" t="s">
        <v>144</v>
      </c>
      <c r="D187" s="1" t="s">
        <v>166</v>
      </c>
      <c r="E187" s="1" t="s">
        <v>9</v>
      </c>
      <c r="F187" s="4">
        <v>3286</v>
      </c>
      <c r="G187" s="4" t="s">
        <v>970</v>
      </c>
      <c r="H187" s="2" t="s">
        <v>14</v>
      </c>
      <c r="I187" s="7" t="s">
        <v>971</v>
      </c>
      <c r="J187" s="1" t="s">
        <v>55</v>
      </c>
      <c r="K187" s="4" t="s">
        <v>972</v>
      </c>
      <c r="L187" s="4" t="s">
        <v>719</v>
      </c>
      <c r="M187" s="4" t="s">
        <v>973</v>
      </c>
      <c r="N187" s="8" t="str">
        <f t="shared" ca="1" si="2"/>
        <v>18 Tahun, 5 Bulan, 15 Hari</v>
      </c>
    </row>
    <row r="188" spans="1:14" x14ac:dyDescent="0.25">
      <c r="A188" s="1">
        <v>187</v>
      </c>
      <c r="B188" s="1">
        <v>798</v>
      </c>
      <c r="C188" s="4"/>
      <c r="D188" s="1" t="s">
        <v>123</v>
      </c>
      <c r="E188" s="1" t="s">
        <v>9</v>
      </c>
      <c r="F188" s="4">
        <v>2825</v>
      </c>
      <c r="G188" s="4" t="s">
        <v>989</v>
      </c>
      <c r="H188" s="2" t="s">
        <v>14</v>
      </c>
      <c r="I188" s="7">
        <v>37712</v>
      </c>
      <c r="J188" s="1" t="s">
        <v>55</v>
      </c>
      <c r="K188" s="4" t="s">
        <v>990</v>
      </c>
      <c r="L188" s="4" t="s">
        <v>991</v>
      </c>
      <c r="M188" s="4" t="s">
        <v>992</v>
      </c>
      <c r="N188" s="8" t="str">
        <f t="shared" ca="1" si="2"/>
        <v>21 Tahun, 8 Bulan, 20 Hari</v>
      </c>
    </row>
    <row r="189" spans="1:14" x14ac:dyDescent="0.25">
      <c r="A189" s="1">
        <v>188</v>
      </c>
      <c r="B189" s="1">
        <v>543</v>
      </c>
      <c r="C189" s="4" t="s">
        <v>144</v>
      </c>
      <c r="D189" s="1" t="s">
        <v>206</v>
      </c>
      <c r="E189" s="1" t="s">
        <v>9</v>
      </c>
      <c r="F189" s="4">
        <v>3673</v>
      </c>
      <c r="G189" s="4" t="s">
        <v>974</v>
      </c>
      <c r="H189" s="2" t="s">
        <v>149</v>
      </c>
      <c r="I189" s="7">
        <v>38914</v>
      </c>
      <c r="J189" s="1" t="s">
        <v>55</v>
      </c>
      <c r="K189" s="4" t="s">
        <v>975</v>
      </c>
      <c r="L189" s="4" t="s">
        <v>100</v>
      </c>
      <c r="M189" s="4" t="s">
        <v>977</v>
      </c>
      <c r="N189" s="8" t="str">
        <f t="shared" ca="1" si="2"/>
        <v>18 Tahun, 5 Bulan, 5 Hari</v>
      </c>
    </row>
    <row r="190" spans="1:14" x14ac:dyDescent="0.25">
      <c r="A190" s="1">
        <v>189</v>
      </c>
      <c r="B190" s="1">
        <v>764</v>
      </c>
      <c r="C190" s="4" t="s">
        <v>90</v>
      </c>
      <c r="D190" s="1" t="s">
        <v>153</v>
      </c>
      <c r="E190" s="1" t="s">
        <v>9</v>
      </c>
      <c r="F190" s="4">
        <v>2744</v>
      </c>
      <c r="G190" s="4" t="s">
        <v>997</v>
      </c>
      <c r="H190" s="2" t="s">
        <v>14</v>
      </c>
      <c r="I190" s="7">
        <v>39294</v>
      </c>
      <c r="J190" s="1" t="s">
        <v>57</v>
      </c>
      <c r="K190" s="4" t="s">
        <v>424</v>
      </c>
      <c r="L190" s="4" t="s">
        <v>998</v>
      </c>
      <c r="M190" s="4" t="s">
        <v>999</v>
      </c>
      <c r="N190" s="8" t="str">
        <f t="shared" ca="1" si="2"/>
        <v>17 Tahun, 4 Bulan, 20 Hari</v>
      </c>
    </row>
    <row r="191" spans="1:14" x14ac:dyDescent="0.25">
      <c r="A191" s="1">
        <v>190</v>
      </c>
      <c r="B191" s="1">
        <v>621</v>
      </c>
      <c r="C191" s="4" t="s">
        <v>180</v>
      </c>
      <c r="D191" s="1" t="s">
        <v>118</v>
      </c>
      <c r="E191" s="1" t="s">
        <v>9</v>
      </c>
      <c r="F191" s="4">
        <v>3513</v>
      </c>
      <c r="G191" s="4" t="s">
        <v>993</v>
      </c>
      <c r="H191" s="2" t="s">
        <v>75</v>
      </c>
      <c r="I191" s="7">
        <v>0</v>
      </c>
      <c r="J191" s="1" t="s">
        <v>57</v>
      </c>
      <c r="K191" s="4" t="s">
        <v>994</v>
      </c>
      <c r="L191" s="4" t="s">
        <v>995</v>
      </c>
      <c r="M191" s="4">
        <v>0</v>
      </c>
      <c r="N191" s="8" t="str">
        <f t="shared" ca="1" si="2"/>
        <v>124 Tahun, 11 Bulan, 21 Hari</v>
      </c>
    </row>
    <row r="192" spans="1:14" x14ac:dyDescent="0.25">
      <c r="A192" s="1">
        <v>191</v>
      </c>
      <c r="B192" s="1">
        <v>115</v>
      </c>
      <c r="C192" s="4">
        <v>0</v>
      </c>
      <c r="D192" s="1" t="s">
        <v>12</v>
      </c>
      <c r="E192" s="1" t="s">
        <v>11</v>
      </c>
      <c r="F192" s="4">
        <v>1450292</v>
      </c>
      <c r="G192" s="4" t="s">
        <v>1007</v>
      </c>
      <c r="H192" s="2" t="s">
        <v>14</v>
      </c>
      <c r="I192" s="7">
        <v>37065.416666666664</v>
      </c>
      <c r="J192" s="1" t="s">
        <v>58</v>
      </c>
      <c r="K192" s="4" t="s">
        <v>1008</v>
      </c>
      <c r="L192" s="4" t="s">
        <v>1009</v>
      </c>
      <c r="M192" s="4" t="s">
        <v>1010</v>
      </c>
      <c r="N192" s="8" t="str">
        <f t="shared" ca="1" si="2"/>
        <v>23 Tahun, 5 Bulan, 28 Hari</v>
      </c>
    </row>
    <row r="193" spans="1:14" x14ac:dyDescent="0.25">
      <c r="A193" s="1">
        <v>192</v>
      </c>
      <c r="B193" s="1">
        <v>525</v>
      </c>
      <c r="C193" s="4"/>
      <c r="D193" s="1" t="s">
        <v>243</v>
      </c>
      <c r="E193" s="1" t="s">
        <v>9</v>
      </c>
      <c r="F193" s="4">
        <v>3654</v>
      </c>
      <c r="G193" s="4" t="s">
        <v>1000</v>
      </c>
      <c r="H193" s="2" t="s">
        <v>837</v>
      </c>
      <c r="I193" s="7" t="s">
        <v>1001</v>
      </c>
      <c r="J193" s="1" t="s">
        <v>58</v>
      </c>
      <c r="K193" s="4" t="s">
        <v>1002</v>
      </c>
      <c r="L193" s="4" t="s">
        <v>539</v>
      </c>
      <c r="M193" s="4" t="s">
        <v>224</v>
      </c>
      <c r="N193" s="8" t="str">
        <f t="shared" ca="1" si="2"/>
        <v>17 Tahun, 5 Bulan, 4 Hari</v>
      </c>
    </row>
    <row r="194" spans="1:14" x14ac:dyDescent="0.25">
      <c r="A194" s="1">
        <v>193</v>
      </c>
      <c r="B194" s="1">
        <v>709</v>
      </c>
      <c r="C194" s="4" t="s">
        <v>144</v>
      </c>
      <c r="D194" s="1" t="s">
        <v>166</v>
      </c>
      <c r="E194" s="1" t="s">
        <v>9</v>
      </c>
      <c r="F194" s="4">
        <v>3338</v>
      </c>
      <c r="G194" s="4" t="s">
        <v>1003</v>
      </c>
      <c r="H194" s="2" t="s">
        <v>149</v>
      </c>
      <c r="I194" s="7">
        <v>38497</v>
      </c>
      <c r="J194" s="1" t="s">
        <v>58</v>
      </c>
      <c r="K194" s="4" t="s">
        <v>1004</v>
      </c>
      <c r="L194" s="4" t="s">
        <v>1005</v>
      </c>
      <c r="M194" s="4" t="s">
        <v>1006</v>
      </c>
      <c r="N194" s="8" t="str">
        <f t="shared" ref="N194:N257" ca="1" si="3">DATEDIF(I194,NOW(),"Y")&amp;" Tahun, "&amp;DATEDIF(I194,NOW(),"YM")&amp;" Bulan, "&amp;DATEDIF(I194,NOW(),"MD")&amp;" Hari"</f>
        <v>19 Tahun, 6 Bulan, 26 Hari</v>
      </c>
    </row>
    <row r="195" spans="1:14" x14ac:dyDescent="0.25">
      <c r="A195" s="1">
        <v>194</v>
      </c>
      <c r="B195" s="1">
        <v>777</v>
      </c>
      <c r="C195" s="4" t="s">
        <v>144</v>
      </c>
      <c r="D195" s="1" t="s">
        <v>153</v>
      </c>
      <c r="E195" s="1" t="s">
        <v>9</v>
      </c>
      <c r="F195" s="4">
        <v>2818</v>
      </c>
      <c r="G195" s="4" t="s">
        <v>1014</v>
      </c>
      <c r="H195" s="2" t="s">
        <v>14</v>
      </c>
      <c r="I195" s="7">
        <v>39110</v>
      </c>
      <c r="J195" s="1" t="s">
        <v>59</v>
      </c>
      <c r="K195" s="4" t="s">
        <v>644</v>
      </c>
      <c r="L195" s="4" t="s">
        <v>1015</v>
      </c>
      <c r="M195" s="4" t="s">
        <v>1016</v>
      </c>
      <c r="N195" s="8" t="str">
        <f t="shared" ca="1" si="3"/>
        <v>17 Tahun, 10 Bulan, 23 Hari</v>
      </c>
    </row>
    <row r="196" spans="1:14" x14ac:dyDescent="0.25">
      <c r="A196" s="1">
        <v>195</v>
      </c>
      <c r="B196" s="1">
        <v>471</v>
      </c>
      <c r="C196" s="4"/>
      <c r="D196" s="1" t="s">
        <v>110</v>
      </c>
      <c r="E196" s="1" t="s">
        <v>9</v>
      </c>
      <c r="F196" s="4">
        <v>3231</v>
      </c>
      <c r="G196" s="4" t="s">
        <v>1017</v>
      </c>
      <c r="H196" s="2" t="s">
        <v>14</v>
      </c>
      <c r="I196" s="7" t="s">
        <v>1018</v>
      </c>
      <c r="J196" s="1" t="s">
        <v>59</v>
      </c>
      <c r="K196" s="4" t="s">
        <v>1019</v>
      </c>
      <c r="L196" s="4" t="s">
        <v>1020</v>
      </c>
      <c r="M196" s="4" t="s">
        <v>1021</v>
      </c>
      <c r="N196" s="8" t="str">
        <f t="shared" ca="1" si="3"/>
        <v>17 Tahun, 10 Bulan, 26 Hari</v>
      </c>
    </row>
    <row r="197" spans="1:14" x14ac:dyDescent="0.25">
      <c r="A197" s="1">
        <v>196</v>
      </c>
      <c r="B197" s="1">
        <v>768</v>
      </c>
      <c r="C197" s="4" t="s">
        <v>444</v>
      </c>
      <c r="D197" s="1" t="s">
        <v>153</v>
      </c>
      <c r="E197" s="1" t="s">
        <v>9</v>
      </c>
      <c r="F197" s="4">
        <v>2779</v>
      </c>
      <c r="G197" s="4" t="s">
        <v>1022</v>
      </c>
      <c r="H197" s="2" t="s">
        <v>14</v>
      </c>
      <c r="I197" s="7">
        <v>38396</v>
      </c>
      <c r="J197" s="1" t="s">
        <v>59</v>
      </c>
      <c r="K197" s="4" t="s">
        <v>644</v>
      </c>
      <c r="L197" s="4" t="s">
        <v>1023</v>
      </c>
      <c r="M197" s="4" t="s">
        <v>205</v>
      </c>
      <c r="N197" s="8" t="str">
        <f t="shared" ca="1" si="3"/>
        <v>19 Tahun, 10 Bulan, 8 Hari</v>
      </c>
    </row>
    <row r="198" spans="1:14" x14ac:dyDescent="0.25">
      <c r="A198" s="1">
        <v>197</v>
      </c>
      <c r="B198" s="1">
        <v>818</v>
      </c>
      <c r="C198" s="4" t="s">
        <v>117</v>
      </c>
      <c r="D198" s="1" t="s">
        <v>113</v>
      </c>
      <c r="E198" s="1" t="s">
        <v>9</v>
      </c>
      <c r="F198" s="4">
        <v>2786</v>
      </c>
      <c r="G198" s="4" t="s">
        <v>1011</v>
      </c>
      <c r="H198" s="2" t="s">
        <v>75</v>
      </c>
      <c r="I198" s="7">
        <v>39190</v>
      </c>
      <c r="J198" s="1" t="s">
        <v>59</v>
      </c>
      <c r="K198" s="4" t="s">
        <v>1012</v>
      </c>
      <c r="L198" s="4" t="s">
        <v>1013</v>
      </c>
      <c r="M198" s="4">
        <v>0</v>
      </c>
      <c r="N198" s="8" t="str">
        <f t="shared" ca="1" si="3"/>
        <v>17 Tahun, 8 Bulan, 3 Hari</v>
      </c>
    </row>
    <row r="199" spans="1:14" x14ac:dyDescent="0.25">
      <c r="A199" s="1">
        <v>198</v>
      </c>
      <c r="B199" s="1">
        <v>1073</v>
      </c>
      <c r="C199" s="4"/>
      <c r="D199" s="1" t="s">
        <v>128</v>
      </c>
      <c r="E199" s="1" t="s">
        <v>17</v>
      </c>
      <c r="F199" s="4">
        <v>1601</v>
      </c>
      <c r="G199" s="4" t="s">
        <v>1024</v>
      </c>
      <c r="H199" s="2" t="s">
        <v>14</v>
      </c>
      <c r="I199" s="7" t="s">
        <v>1025</v>
      </c>
      <c r="J199" s="1" t="s">
        <v>60</v>
      </c>
      <c r="K199" s="4" t="s">
        <v>1026</v>
      </c>
      <c r="L199" s="4" t="s">
        <v>1027</v>
      </c>
      <c r="M199" s="4" t="s">
        <v>1028</v>
      </c>
      <c r="N199" s="8" t="str">
        <f t="shared" ca="1" si="3"/>
        <v>18 Tahun, 0 Bulan, 26 Hari</v>
      </c>
    </row>
    <row r="200" spans="1:14" x14ac:dyDescent="0.25">
      <c r="A200" s="1">
        <v>199</v>
      </c>
      <c r="B200" s="1">
        <v>942</v>
      </c>
      <c r="C200" s="4"/>
      <c r="D200" s="1">
        <v>1</v>
      </c>
      <c r="E200" s="1" t="s">
        <v>17</v>
      </c>
      <c r="F200" s="4">
        <v>2468</v>
      </c>
      <c r="G200" s="4" t="s">
        <v>1036</v>
      </c>
      <c r="H200" s="2" t="s">
        <v>14</v>
      </c>
      <c r="I200" s="7" t="s">
        <v>1037</v>
      </c>
      <c r="J200" s="1" t="s">
        <v>60</v>
      </c>
      <c r="K200" s="4" t="s">
        <v>1038</v>
      </c>
      <c r="L200" s="4" t="s">
        <v>1039</v>
      </c>
      <c r="M200" s="4">
        <v>0</v>
      </c>
      <c r="N200" s="8" t="str">
        <f t="shared" ca="1" si="3"/>
        <v>19 Tahun, 7 Bulan, 19 Hari</v>
      </c>
    </row>
    <row r="201" spans="1:14" x14ac:dyDescent="0.25">
      <c r="A201" s="1">
        <v>200</v>
      </c>
      <c r="B201" s="1">
        <v>854</v>
      </c>
      <c r="C201" s="4" t="s">
        <v>144</v>
      </c>
      <c r="D201" s="1" t="s">
        <v>91</v>
      </c>
      <c r="E201" s="1" t="s">
        <v>9</v>
      </c>
      <c r="F201" s="4">
        <v>3498</v>
      </c>
      <c r="G201" s="4" t="s">
        <v>1033</v>
      </c>
      <c r="H201" s="2" t="s">
        <v>14</v>
      </c>
      <c r="I201" s="7">
        <v>38810</v>
      </c>
      <c r="J201" s="1" t="s">
        <v>60</v>
      </c>
      <c r="K201" s="4" t="s">
        <v>1034</v>
      </c>
      <c r="L201" s="4" t="s">
        <v>1035</v>
      </c>
      <c r="M201" s="4">
        <v>0</v>
      </c>
      <c r="N201" s="8" t="str">
        <f t="shared" ca="1" si="3"/>
        <v>18 Tahun, 8 Bulan, 18 Hari</v>
      </c>
    </row>
    <row r="202" spans="1:14" x14ac:dyDescent="0.25">
      <c r="A202" s="1">
        <v>201</v>
      </c>
      <c r="B202" s="1">
        <v>792</v>
      </c>
      <c r="C202" s="4"/>
      <c r="D202" s="1" t="s">
        <v>123</v>
      </c>
      <c r="E202" s="1" t="s">
        <v>9</v>
      </c>
      <c r="F202" s="4">
        <v>2863</v>
      </c>
      <c r="G202" s="4" t="s">
        <v>1029</v>
      </c>
      <c r="H202" s="2" t="s">
        <v>75</v>
      </c>
      <c r="I202" s="7">
        <v>39324</v>
      </c>
      <c r="J202" s="1" t="s">
        <v>60</v>
      </c>
      <c r="K202" s="4" t="s">
        <v>1030</v>
      </c>
      <c r="L202" s="4" t="s">
        <v>1031</v>
      </c>
      <c r="M202" s="4" t="s">
        <v>1032</v>
      </c>
      <c r="N202" s="8" t="str">
        <f t="shared" ca="1" si="3"/>
        <v>17 Tahun, 3 Bulan, 21 Hari</v>
      </c>
    </row>
    <row r="203" spans="1:14" x14ac:dyDescent="0.25">
      <c r="A203" s="1">
        <v>202</v>
      </c>
      <c r="B203" s="1">
        <v>920</v>
      </c>
      <c r="C203" s="4"/>
      <c r="D203" s="1">
        <v>1</v>
      </c>
      <c r="E203" s="1" t="s">
        <v>17</v>
      </c>
      <c r="F203" s="4">
        <v>2914</v>
      </c>
      <c r="G203" s="4" t="s">
        <v>1046</v>
      </c>
      <c r="H203" s="2" t="s">
        <v>14</v>
      </c>
      <c r="I203" s="7">
        <v>39240</v>
      </c>
      <c r="J203" s="1" t="s">
        <v>61</v>
      </c>
      <c r="K203" s="4" t="s">
        <v>1044</v>
      </c>
      <c r="L203" s="4" t="s">
        <v>241</v>
      </c>
      <c r="M203" s="4" t="s">
        <v>1047</v>
      </c>
      <c r="N203" s="8" t="str">
        <f t="shared" ca="1" si="3"/>
        <v>17 Tahun, 6 Bulan, 14 Hari</v>
      </c>
    </row>
    <row r="204" spans="1:14" x14ac:dyDescent="0.25">
      <c r="A204" s="1">
        <v>203</v>
      </c>
      <c r="B204" s="1">
        <v>960</v>
      </c>
      <c r="C204" s="4"/>
      <c r="D204" s="1">
        <v>1</v>
      </c>
      <c r="E204" s="1" t="s">
        <v>17</v>
      </c>
      <c r="F204" s="4">
        <v>2915</v>
      </c>
      <c r="G204" s="4" t="s">
        <v>1048</v>
      </c>
      <c r="H204" s="2" t="s">
        <v>14</v>
      </c>
      <c r="I204" s="7">
        <v>38713</v>
      </c>
      <c r="J204" s="1" t="s">
        <v>61</v>
      </c>
      <c r="K204" s="4" t="s">
        <v>1049</v>
      </c>
      <c r="L204" s="4" t="s">
        <v>1050</v>
      </c>
      <c r="M204" s="4" t="s">
        <v>1051</v>
      </c>
      <c r="N204" s="8" t="str">
        <f t="shared" ca="1" si="3"/>
        <v>18 Tahun, 11 Bulan, 24 Hari</v>
      </c>
    </row>
    <row r="205" spans="1:14" x14ac:dyDescent="0.25">
      <c r="A205" s="1">
        <v>204</v>
      </c>
      <c r="B205" s="1">
        <v>891</v>
      </c>
      <c r="C205" s="4"/>
      <c r="D205" s="1">
        <v>1</v>
      </c>
      <c r="E205" s="1" t="s">
        <v>17</v>
      </c>
      <c r="F205" s="4">
        <v>2531</v>
      </c>
      <c r="G205" s="4" t="s">
        <v>1056</v>
      </c>
      <c r="H205" s="2" t="s">
        <v>14</v>
      </c>
      <c r="I205" s="7" t="s">
        <v>1057</v>
      </c>
      <c r="J205" s="1" t="s">
        <v>61</v>
      </c>
      <c r="K205" s="4" t="s">
        <v>1058</v>
      </c>
      <c r="L205" s="4" t="s">
        <v>1059</v>
      </c>
      <c r="M205" s="4" t="s">
        <v>229</v>
      </c>
      <c r="N205" s="8" t="str">
        <f t="shared" ca="1" si="3"/>
        <v>18 Tahun, 8 Bulan, 1 Hari</v>
      </c>
    </row>
    <row r="206" spans="1:14" x14ac:dyDescent="0.25">
      <c r="A206" s="1">
        <v>205</v>
      </c>
      <c r="B206" s="1">
        <v>994</v>
      </c>
      <c r="C206" s="4"/>
      <c r="D206" s="1">
        <v>1</v>
      </c>
      <c r="E206" s="1" t="s">
        <v>17</v>
      </c>
      <c r="F206" s="4">
        <v>2522</v>
      </c>
      <c r="G206" s="4" t="s">
        <v>1060</v>
      </c>
      <c r="H206" s="2" t="s">
        <v>14</v>
      </c>
      <c r="I206" s="7" t="s">
        <v>1061</v>
      </c>
      <c r="J206" s="1" t="s">
        <v>61</v>
      </c>
      <c r="K206" s="4" t="s">
        <v>1062</v>
      </c>
      <c r="L206" s="4" t="s">
        <v>1063</v>
      </c>
      <c r="M206" s="4" t="s">
        <v>1064</v>
      </c>
      <c r="N206" s="8" t="str">
        <f t="shared" ca="1" si="3"/>
        <v>18 Tahun, 10 Bulan, 27 Hari</v>
      </c>
    </row>
    <row r="207" spans="1:14" x14ac:dyDescent="0.25">
      <c r="A207" s="1">
        <v>206</v>
      </c>
      <c r="B207" s="1">
        <v>1050</v>
      </c>
      <c r="C207" s="4"/>
      <c r="D207" s="1" t="s">
        <v>128</v>
      </c>
      <c r="E207" s="1" t="s">
        <v>17</v>
      </c>
      <c r="F207" s="4">
        <v>1536</v>
      </c>
      <c r="G207" s="4" t="s">
        <v>1052</v>
      </c>
      <c r="H207" s="2" t="s">
        <v>75</v>
      </c>
      <c r="I207" s="7" t="s">
        <v>1053</v>
      </c>
      <c r="J207" s="1" t="s">
        <v>61</v>
      </c>
      <c r="K207" s="4" t="s">
        <v>1054</v>
      </c>
      <c r="L207" s="4" t="s">
        <v>1055</v>
      </c>
      <c r="M207" s="4">
        <v>0</v>
      </c>
      <c r="N207" s="8" t="str">
        <f t="shared" ca="1" si="3"/>
        <v>18 Tahun, 3 Bulan, 12 Hari</v>
      </c>
    </row>
    <row r="208" spans="1:14" x14ac:dyDescent="0.25">
      <c r="A208" s="1">
        <v>207</v>
      </c>
      <c r="B208" s="1">
        <v>872</v>
      </c>
      <c r="C208" s="4" t="s">
        <v>117</v>
      </c>
      <c r="D208" s="1" t="s">
        <v>91</v>
      </c>
      <c r="E208" s="1" t="s">
        <v>9</v>
      </c>
      <c r="F208" s="4">
        <v>2770</v>
      </c>
      <c r="G208" s="4" t="s">
        <v>1040</v>
      </c>
      <c r="H208" s="2" t="s">
        <v>14</v>
      </c>
      <c r="I208" s="7">
        <v>39374</v>
      </c>
      <c r="J208" s="1" t="s">
        <v>61</v>
      </c>
      <c r="K208" s="4" t="s">
        <v>424</v>
      </c>
      <c r="L208" s="4" t="s">
        <v>1041</v>
      </c>
      <c r="M208" s="4" t="s">
        <v>1042</v>
      </c>
      <c r="N208" s="8" t="str">
        <f t="shared" ca="1" si="3"/>
        <v>17 Tahun, 2 Bulan, 2 Hari</v>
      </c>
    </row>
    <row r="209" spans="1:14" x14ac:dyDescent="0.25">
      <c r="A209" s="1">
        <v>208</v>
      </c>
      <c r="B209" s="1">
        <v>846</v>
      </c>
      <c r="C209" s="4" t="s">
        <v>117</v>
      </c>
      <c r="D209" s="1" t="s">
        <v>91</v>
      </c>
      <c r="E209" s="1" t="s">
        <v>9</v>
      </c>
      <c r="F209" s="4">
        <v>3186</v>
      </c>
      <c r="G209" s="4" t="s">
        <v>1043</v>
      </c>
      <c r="H209" s="2" t="s">
        <v>14</v>
      </c>
      <c r="I209" s="7">
        <v>39308</v>
      </c>
      <c r="J209" s="1" t="s">
        <v>61</v>
      </c>
      <c r="K209" s="4" t="s">
        <v>1044</v>
      </c>
      <c r="L209" s="4" t="s">
        <v>1045</v>
      </c>
      <c r="M209" s="4">
        <v>0</v>
      </c>
      <c r="N209" s="8" t="str">
        <f t="shared" ca="1" si="3"/>
        <v>17 Tahun, 4 Bulan, 7 Hari</v>
      </c>
    </row>
    <row r="210" spans="1:14" x14ac:dyDescent="0.25">
      <c r="A210" s="1">
        <v>209</v>
      </c>
      <c r="B210" s="1">
        <v>749</v>
      </c>
      <c r="C210" s="4" t="s">
        <v>444</v>
      </c>
      <c r="D210" s="1" t="s">
        <v>153</v>
      </c>
      <c r="E210" s="1" t="s">
        <v>9</v>
      </c>
      <c r="F210" s="4">
        <v>2837</v>
      </c>
      <c r="G210" s="4" t="s">
        <v>1065</v>
      </c>
      <c r="H210" s="2" t="s">
        <v>14</v>
      </c>
      <c r="I210" s="7">
        <v>38520</v>
      </c>
      <c r="J210" s="1" t="s">
        <v>61</v>
      </c>
      <c r="K210" s="4" t="s">
        <v>1066</v>
      </c>
      <c r="L210" s="4" t="s">
        <v>1067</v>
      </c>
      <c r="M210" s="4" t="s">
        <v>417</v>
      </c>
      <c r="N210" s="8" t="str">
        <f t="shared" ca="1" si="3"/>
        <v>19 Tahun, 6 Bulan, 4 Hari</v>
      </c>
    </row>
    <row r="211" spans="1:14" x14ac:dyDescent="0.25">
      <c r="A211" s="1">
        <v>210</v>
      </c>
      <c r="B211" s="1">
        <v>1018</v>
      </c>
      <c r="C211" s="4"/>
      <c r="D211" s="1" t="s">
        <v>118</v>
      </c>
      <c r="E211" s="1" t="s">
        <v>17</v>
      </c>
      <c r="F211" s="4">
        <v>1548</v>
      </c>
      <c r="G211" s="4" t="s">
        <v>1068</v>
      </c>
      <c r="H211" s="2" t="s">
        <v>14</v>
      </c>
      <c r="I211" s="7" t="s">
        <v>1069</v>
      </c>
      <c r="J211" s="1" t="s">
        <v>62</v>
      </c>
      <c r="K211" s="4" t="s">
        <v>237</v>
      </c>
      <c r="L211" s="4" t="s">
        <v>1070</v>
      </c>
      <c r="M211" s="4" t="s">
        <v>1071</v>
      </c>
      <c r="N211" s="8" t="str">
        <f t="shared" ca="1" si="3"/>
        <v>17 Tahun, 11 Bulan, 24 Hari</v>
      </c>
    </row>
    <row r="212" spans="1:14" x14ac:dyDescent="0.25">
      <c r="A212" s="1">
        <v>211</v>
      </c>
      <c r="B212" s="1">
        <v>1072</v>
      </c>
      <c r="C212" s="4"/>
      <c r="D212" s="1" t="s">
        <v>128</v>
      </c>
      <c r="E212" s="1" t="s">
        <v>17</v>
      </c>
      <c r="F212" s="4">
        <v>1595</v>
      </c>
      <c r="G212" s="4" t="s">
        <v>1072</v>
      </c>
      <c r="H212" s="2" t="s">
        <v>14</v>
      </c>
      <c r="I212" s="7" t="s">
        <v>1073</v>
      </c>
      <c r="J212" s="1" t="s">
        <v>62</v>
      </c>
      <c r="K212" s="4" t="s">
        <v>1074</v>
      </c>
      <c r="L212" s="4" t="s">
        <v>1075</v>
      </c>
      <c r="M212" s="4" t="s">
        <v>1076</v>
      </c>
      <c r="N212" s="8" t="str">
        <f t="shared" ca="1" si="3"/>
        <v>17 Tahun, 4 Bulan, 12 Hari</v>
      </c>
    </row>
    <row r="213" spans="1:14" x14ac:dyDescent="0.25">
      <c r="A213" s="1">
        <v>212</v>
      </c>
      <c r="B213" s="1">
        <v>986</v>
      </c>
      <c r="C213" s="4"/>
      <c r="D213" s="1">
        <v>1</v>
      </c>
      <c r="E213" s="1" t="s">
        <v>17</v>
      </c>
      <c r="F213" s="4">
        <v>2469</v>
      </c>
      <c r="G213" s="4" t="s">
        <v>1077</v>
      </c>
      <c r="H213" s="2" t="s">
        <v>14</v>
      </c>
      <c r="I213" s="7">
        <v>39301</v>
      </c>
      <c r="J213" s="1" t="s">
        <v>62</v>
      </c>
      <c r="K213" s="4" t="s">
        <v>1078</v>
      </c>
      <c r="L213" s="4" t="s">
        <v>1079</v>
      </c>
      <c r="M213" s="4" t="s">
        <v>1080</v>
      </c>
      <c r="N213" s="8" t="str">
        <f t="shared" ca="1" si="3"/>
        <v>17 Tahun, 4 Bulan, 14 Hari</v>
      </c>
    </row>
    <row r="214" spans="1:14" x14ac:dyDescent="0.25">
      <c r="A214" s="1">
        <v>213</v>
      </c>
      <c r="B214" s="1">
        <v>1044</v>
      </c>
      <c r="C214" s="4"/>
      <c r="D214" s="1" t="s">
        <v>128</v>
      </c>
      <c r="E214" s="1" t="s">
        <v>17</v>
      </c>
      <c r="F214" s="4">
        <v>1520</v>
      </c>
      <c r="G214" s="4" t="s">
        <v>1081</v>
      </c>
      <c r="H214" s="2" t="s">
        <v>75</v>
      </c>
      <c r="I214" s="7" t="s">
        <v>1082</v>
      </c>
      <c r="J214" s="1" t="s">
        <v>62</v>
      </c>
      <c r="K214" s="4" t="s">
        <v>1083</v>
      </c>
      <c r="L214" s="4" t="s">
        <v>1084</v>
      </c>
      <c r="M214" s="4">
        <v>0</v>
      </c>
      <c r="N214" s="8" t="str">
        <f t="shared" ca="1" si="3"/>
        <v>17 Tahun, 9 Bulan, 25 Hari</v>
      </c>
    </row>
    <row r="215" spans="1:14" x14ac:dyDescent="0.25">
      <c r="A215" s="1">
        <v>214</v>
      </c>
      <c r="B215" s="1">
        <v>897</v>
      </c>
      <c r="C215" s="4"/>
      <c r="D215" s="1">
        <v>1</v>
      </c>
      <c r="E215" s="1" t="s">
        <v>17</v>
      </c>
      <c r="F215" s="4">
        <v>2461</v>
      </c>
      <c r="G215" s="4" t="s">
        <v>1085</v>
      </c>
      <c r="H215" s="2" t="s">
        <v>14</v>
      </c>
      <c r="I215" s="7" t="s">
        <v>1086</v>
      </c>
      <c r="J215" s="1" t="s">
        <v>63</v>
      </c>
      <c r="K215" s="4" t="s">
        <v>888</v>
      </c>
      <c r="L215" s="4" t="s">
        <v>183</v>
      </c>
      <c r="M215" s="4" t="s">
        <v>1087</v>
      </c>
      <c r="N215" s="8" t="str">
        <f t="shared" ca="1" si="3"/>
        <v>19 Tahun, 11 Bulan, 20 Hari</v>
      </c>
    </row>
    <row r="216" spans="1:14" x14ac:dyDescent="0.25">
      <c r="A216" s="1">
        <v>215</v>
      </c>
      <c r="B216" s="1">
        <v>1027</v>
      </c>
      <c r="C216" s="4"/>
      <c r="D216" s="1" t="s">
        <v>118</v>
      </c>
      <c r="E216" s="1" t="s">
        <v>17</v>
      </c>
      <c r="F216" s="4">
        <v>1572</v>
      </c>
      <c r="G216" s="4" t="s">
        <v>1092</v>
      </c>
      <c r="H216" s="2" t="s">
        <v>14</v>
      </c>
      <c r="I216" s="7" t="s">
        <v>1093</v>
      </c>
      <c r="J216" s="1" t="s">
        <v>63</v>
      </c>
      <c r="K216" s="4" t="s">
        <v>276</v>
      </c>
      <c r="L216" s="4" t="s">
        <v>412</v>
      </c>
      <c r="M216" s="4" t="s">
        <v>1094</v>
      </c>
      <c r="N216" s="8" t="str">
        <f t="shared" ca="1" si="3"/>
        <v>22 Tahun, 2 Bulan, 10 Hari</v>
      </c>
    </row>
    <row r="217" spans="1:14" x14ac:dyDescent="0.25">
      <c r="A217" s="1">
        <v>216</v>
      </c>
      <c r="B217" s="1">
        <v>945</v>
      </c>
      <c r="C217" s="4"/>
      <c r="D217" s="1">
        <v>1</v>
      </c>
      <c r="E217" s="1" t="s">
        <v>17</v>
      </c>
      <c r="F217" s="4">
        <v>2448</v>
      </c>
      <c r="G217" s="4" t="s">
        <v>989</v>
      </c>
      <c r="H217" s="2" t="s">
        <v>75</v>
      </c>
      <c r="I217" s="7" t="s">
        <v>1095</v>
      </c>
      <c r="J217" s="1" t="s">
        <v>63</v>
      </c>
      <c r="K217" s="4" t="s">
        <v>1096</v>
      </c>
      <c r="L217" s="4" t="s">
        <v>402</v>
      </c>
      <c r="M217" s="4" t="s">
        <v>403</v>
      </c>
      <c r="N217" s="8" t="str">
        <f t="shared" ca="1" si="3"/>
        <v>22 Tahun, 5 Bulan, 7 Hari</v>
      </c>
    </row>
    <row r="218" spans="1:14" x14ac:dyDescent="0.25">
      <c r="A218" s="1">
        <v>217</v>
      </c>
      <c r="B218" s="1">
        <v>868</v>
      </c>
      <c r="C218" s="4" t="s">
        <v>112</v>
      </c>
      <c r="D218" s="1" t="s">
        <v>91</v>
      </c>
      <c r="E218" s="1" t="s">
        <v>9</v>
      </c>
      <c r="F218" s="4">
        <v>2831</v>
      </c>
      <c r="G218" s="4" t="s">
        <v>1088</v>
      </c>
      <c r="H218" s="2" t="s">
        <v>75</v>
      </c>
      <c r="I218" s="7">
        <v>38604</v>
      </c>
      <c r="J218" s="1" t="s">
        <v>63</v>
      </c>
      <c r="K218" s="4" t="s">
        <v>1089</v>
      </c>
      <c r="L218" s="4" t="s">
        <v>1090</v>
      </c>
      <c r="M218" s="4" t="s">
        <v>1091</v>
      </c>
      <c r="N218" s="8" t="str">
        <f t="shared" ca="1" si="3"/>
        <v>19 Tahun, 3 Bulan, 12 Hari</v>
      </c>
    </row>
    <row r="219" spans="1:14" x14ac:dyDescent="0.25">
      <c r="A219" s="1">
        <v>218</v>
      </c>
      <c r="B219" s="1">
        <v>1071</v>
      </c>
      <c r="C219" s="4"/>
      <c r="D219" s="1" t="s">
        <v>128</v>
      </c>
      <c r="E219" s="1" t="s">
        <v>17</v>
      </c>
      <c r="F219" s="4">
        <v>1592</v>
      </c>
      <c r="G219" s="4" t="s">
        <v>1098</v>
      </c>
      <c r="H219" s="2" t="s">
        <v>14</v>
      </c>
      <c r="I219" s="7" t="s">
        <v>1099</v>
      </c>
      <c r="J219" s="1" t="s">
        <v>64</v>
      </c>
      <c r="K219" s="4" t="s">
        <v>1100</v>
      </c>
      <c r="L219" s="4" t="s">
        <v>1101</v>
      </c>
      <c r="M219" s="4" t="s">
        <v>1102</v>
      </c>
      <c r="N219" s="8" t="str">
        <f t="shared" ca="1" si="3"/>
        <v>18 Tahun, 2 Bulan, 4 Hari</v>
      </c>
    </row>
    <row r="220" spans="1:14" x14ac:dyDescent="0.25">
      <c r="A220" s="1">
        <v>219</v>
      </c>
      <c r="B220" s="1">
        <v>1112</v>
      </c>
      <c r="C220" s="4"/>
      <c r="D220" s="1" t="s">
        <v>166</v>
      </c>
      <c r="E220" s="1" t="s">
        <v>17</v>
      </c>
      <c r="F220" s="4">
        <v>1613</v>
      </c>
      <c r="G220" s="4" t="s">
        <v>1107</v>
      </c>
      <c r="H220" s="2" t="s">
        <v>14</v>
      </c>
      <c r="I220" s="7" t="s">
        <v>1108</v>
      </c>
      <c r="J220" s="1" t="s">
        <v>65</v>
      </c>
      <c r="K220" s="4" t="s">
        <v>169</v>
      </c>
      <c r="L220" s="4" t="s">
        <v>1109</v>
      </c>
      <c r="M220" s="4" t="s">
        <v>1110</v>
      </c>
      <c r="N220" s="8" t="str">
        <f t="shared" ca="1" si="3"/>
        <v>21 Tahun, 7 Bulan, 26 Hari</v>
      </c>
    </row>
    <row r="221" spans="1:14" x14ac:dyDescent="0.25">
      <c r="A221" s="1">
        <v>220</v>
      </c>
      <c r="B221" s="1">
        <v>813</v>
      </c>
      <c r="C221" s="4"/>
      <c r="D221" s="1" t="s">
        <v>123</v>
      </c>
      <c r="E221" s="1" t="s">
        <v>9</v>
      </c>
      <c r="F221" s="4">
        <v>2895</v>
      </c>
      <c r="G221" s="4" t="s">
        <v>1103</v>
      </c>
      <c r="H221" s="2" t="s">
        <v>14</v>
      </c>
      <c r="I221" s="7">
        <v>38719</v>
      </c>
      <c r="J221" s="1" t="s">
        <v>65</v>
      </c>
      <c r="K221" s="4" t="s">
        <v>1104</v>
      </c>
      <c r="L221" s="4" t="s">
        <v>1105</v>
      </c>
      <c r="M221" s="4" t="s">
        <v>1106</v>
      </c>
      <c r="N221" s="8" t="str">
        <f t="shared" ca="1" si="3"/>
        <v>18 Tahun, 11 Bulan, 19 Hari</v>
      </c>
    </row>
    <row r="222" spans="1:14" x14ac:dyDescent="0.25">
      <c r="A222" s="1">
        <v>221</v>
      </c>
      <c r="B222" s="1">
        <v>1075</v>
      </c>
      <c r="C222" s="4"/>
      <c r="D222" s="1" t="s">
        <v>128</v>
      </c>
      <c r="E222" s="1" t="s">
        <v>17</v>
      </c>
      <c r="F222" s="4">
        <v>1607</v>
      </c>
      <c r="G222" s="4" t="s">
        <v>1113</v>
      </c>
      <c r="H222" s="2" t="s">
        <v>75</v>
      </c>
      <c r="I222" s="7" t="s">
        <v>1114</v>
      </c>
      <c r="J222" s="1" t="s">
        <v>66</v>
      </c>
      <c r="K222" s="4" t="s">
        <v>1115</v>
      </c>
      <c r="L222" s="4" t="s">
        <v>102</v>
      </c>
      <c r="M222" s="4" t="s">
        <v>497</v>
      </c>
      <c r="N222" s="8" t="str">
        <f t="shared" ca="1" si="3"/>
        <v>19 Tahun, 1 Bulan, 11 Hari</v>
      </c>
    </row>
    <row r="223" spans="1:14" x14ac:dyDescent="0.25">
      <c r="A223" s="1">
        <v>222</v>
      </c>
      <c r="B223" s="1">
        <v>531</v>
      </c>
      <c r="C223" s="4" t="s">
        <v>90</v>
      </c>
      <c r="D223" s="1" t="s">
        <v>206</v>
      </c>
      <c r="E223" s="1" t="s">
        <v>9</v>
      </c>
      <c r="F223" s="4">
        <v>3670</v>
      </c>
      <c r="G223" s="4" t="s">
        <v>1111</v>
      </c>
      <c r="H223" s="2" t="s">
        <v>2757</v>
      </c>
      <c r="I223" s="7">
        <v>39184</v>
      </c>
      <c r="J223" s="1" t="s">
        <v>66</v>
      </c>
      <c r="K223" s="4" t="s">
        <v>1112</v>
      </c>
      <c r="L223" s="4">
        <v>0</v>
      </c>
      <c r="M223" s="4">
        <v>0</v>
      </c>
      <c r="N223" s="8" t="str">
        <f t="shared" ca="1" si="3"/>
        <v>17 Tahun, 8 Bulan, 9 Hari</v>
      </c>
    </row>
    <row r="224" spans="1:14" x14ac:dyDescent="0.25">
      <c r="A224" s="1">
        <v>223</v>
      </c>
      <c r="B224" s="1">
        <v>934</v>
      </c>
      <c r="C224" s="4"/>
      <c r="D224" s="1">
        <v>1</v>
      </c>
      <c r="E224" s="1" t="s">
        <v>17</v>
      </c>
      <c r="F224" s="4">
        <v>2460</v>
      </c>
      <c r="G224" s="4" t="s">
        <v>1122</v>
      </c>
      <c r="H224" s="2" t="s">
        <v>14</v>
      </c>
      <c r="I224" s="7" t="s">
        <v>1123</v>
      </c>
      <c r="J224" s="1" t="s">
        <v>67</v>
      </c>
      <c r="K224" s="4" t="s">
        <v>700</v>
      </c>
      <c r="L224" s="4" t="s">
        <v>1124</v>
      </c>
      <c r="M224" s="4" t="s">
        <v>536</v>
      </c>
      <c r="N224" s="8" t="str">
        <f t="shared" ca="1" si="3"/>
        <v>18 Tahun, 6 Bulan, 3 Hari</v>
      </c>
    </row>
    <row r="225" spans="1:14" x14ac:dyDescent="0.25">
      <c r="A225" s="1">
        <v>224</v>
      </c>
      <c r="B225" s="1">
        <v>526</v>
      </c>
      <c r="C225" s="4"/>
      <c r="D225" s="1" t="s">
        <v>243</v>
      </c>
      <c r="E225" s="1" t="s">
        <v>9</v>
      </c>
      <c r="F225" s="4">
        <v>3662</v>
      </c>
      <c r="G225" s="4" t="s">
        <v>362</v>
      </c>
      <c r="H225" s="2" t="s">
        <v>14</v>
      </c>
      <c r="I225" s="7" t="s">
        <v>1118</v>
      </c>
      <c r="J225" s="1" t="s">
        <v>67</v>
      </c>
      <c r="K225" s="4" t="s">
        <v>1119</v>
      </c>
      <c r="L225" s="4" t="s">
        <v>1120</v>
      </c>
      <c r="M225" s="4" t="s">
        <v>1121</v>
      </c>
      <c r="N225" s="8" t="str">
        <f t="shared" ca="1" si="3"/>
        <v>17 Tahun, 5 Bulan, 0 Hari</v>
      </c>
    </row>
    <row r="226" spans="1:14" x14ac:dyDescent="0.25">
      <c r="A226" s="1">
        <v>225</v>
      </c>
      <c r="B226" s="1">
        <v>554</v>
      </c>
      <c r="C226" s="4" t="s">
        <v>144</v>
      </c>
      <c r="D226" s="1" t="s">
        <v>206</v>
      </c>
      <c r="E226" s="1" t="s">
        <v>9</v>
      </c>
      <c r="F226" s="4">
        <v>3689</v>
      </c>
      <c r="G226" s="4" t="s">
        <v>1116</v>
      </c>
      <c r="H226" s="2" t="s">
        <v>149</v>
      </c>
      <c r="I226" s="7">
        <v>39048</v>
      </c>
      <c r="J226" s="1" t="s">
        <v>67</v>
      </c>
      <c r="K226" s="4" t="s">
        <v>1117</v>
      </c>
      <c r="L226" s="4" t="s">
        <v>835</v>
      </c>
      <c r="M226" s="4" t="s">
        <v>836</v>
      </c>
      <c r="N226" s="8" t="str">
        <f t="shared" ca="1" si="3"/>
        <v>18 Tahun, 0 Bulan, 24 Hari</v>
      </c>
    </row>
    <row r="227" spans="1:14" x14ac:dyDescent="0.25">
      <c r="A227" s="1">
        <v>226</v>
      </c>
      <c r="B227" s="1">
        <v>856</v>
      </c>
      <c r="C227" s="4" t="s">
        <v>144</v>
      </c>
      <c r="D227" s="1" t="s">
        <v>91</v>
      </c>
      <c r="E227" s="1" t="s">
        <v>9</v>
      </c>
      <c r="F227" s="4">
        <v>2795</v>
      </c>
      <c r="G227" s="4" t="s">
        <v>1125</v>
      </c>
      <c r="H227" s="2" t="s">
        <v>280</v>
      </c>
      <c r="I227" s="7">
        <v>38524</v>
      </c>
      <c r="J227" s="1" t="s">
        <v>67</v>
      </c>
      <c r="K227" s="4" t="s">
        <v>1126</v>
      </c>
      <c r="L227" s="4" t="s">
        <v>1127</v>
      </c>
      <c r="M227" s="4" t="s">
        <v>1128</v>
      </c>
      <c r="N227" s="8" t="str">
        <f t="shared" ca="1" si="3"/>
        <v>19 Tahun, 6 Bulan, 0 Hari</v>
      </c>
    </row>
    <row r="228" spans="1:14" x14ac:dyDescent="0.25">
      <c r="A228" s="1">
        <v>227</v>
      </c>
      <c r="B228" s="1">
        <v>923</v>
      </c>
      <c r="C228" s="4"/>
      <c r="D228" s="1">
        <v>1</v>
      </c>
      <c r="E228" s="1" t="s">
        <v>17</v>
      </c>
      <c r="F228" s="4">
        <v>2477</v>
      </c>
      <c r="G228" s="4" t="s">
        <v>1129</v>
      </c>
      <c r="H228" s="2" t="s">
        <v>14</v>
      </c>
      <c r="I228" s="7" t="s">
        <v>1130</v>
      </c>
      <c r="J228" s="1" t="s">
        <v>68</v>
      </c>
      <c r="K228" s="4" t="s">
        <v>1131</v>
      </c>
      <c r="L228" s="4" t="s">
        <v>1132</v>
      </c>
      <c r="M228" s="4" t="s">
        <v>587</v>
      </c>
      <c r="N228" s="8" t="str">
        <f t="shared" ca="1" si="3"/>
        <v>17 Tahun, 8 Bulan, 5 Hari</v>
      </c>
    </row>
    <row r="229" spans="1:14" x14ac:dyDescent="0.25">
      <c r="A229" s="1">
        <v>228</v>
      </c>
      <c r="B229" s="1">
        <v>815</v>
      </c>
      <c r="C229" s="4" t="s">
        <v>112</v>
      </c>
      <c r="D229" s="1" t="s">
        <v>113</v>
      </c>
      <c r="E229" s="1" t="s">
        <v>9</v>
      </c>
      <c r="F229" s="4">
        <v>2777</v>
      </c>
      <c r="G229" s="4" t="s">
        <v>1137</v>
      </c>
      <c r="H229" s="2" t="s">
        <v>14</v>
      </c>
      <c r="I229" s="7">
        <v>38143</v>
      </c>
      <c r="J229" s="1" t="s">
        <v>68</v>
      </c>
      <c r="K229" s="4" t="s">
        <v>807</v>
      </c>
      <c r="L229" s="4" t="s">
        <v>1138</v>
      </c>
      <c r="M229" s="4" t="s">
        <v>1139</v>
      </c>
      <c r="N229" s="8" t="str">
        <f t="shared" ca="1" si="3"/>
        <v>20 Tahun, 6 Bulan, 16 Hari</v>
      </c>
    </row>
    <row r="230" spans="1:14" x14ac:dyDescent="0.25">
      <c r="A230" s="1">
        <v>229</v>
      </c>
      <c r="B230" s="1">
        <v>806</v>
      </c>
      <c r="C230" s="4"/>
      <c r="D230" s="1" t="s">
        <v>123</v>
      </c>
      <c r="E230" s="1" t="s">
        <v>9</v>
      </c>
      <c r="F230" s="4">
        <v>3192</v>
      </c>
      <c r="G230" s="4" t="s">
        <v>1133</v>
      </c>
      <c r="H230" s="2" t="s">
        <v>75</v>
      </c>
      <c r="I230" s="7">
        <v>38590</v>
      </c>
      <c r="J230" s="1" t="s">
        <v>68</v>
      </c>
      <c r="K230" s="4" t="s">
        <v>1134</v>
      </c>
      <c r="L230" s="4" t="s">
        <v>1135</v>
      </c>
      <c r="M230" s="4" t="s">
        <v>1136</v>
      </c>
      <c r="N230" s="8" t="str">
        <f t="shared" ca="1" si="3"/>
        <v>19 Tahun, 3 Bulan, 25 Hari</v>
      </c>
    </row>
    <row r="231" spans="1:14" x14ac:dyDescent="0.25">
      <c r="A231" s="1">
        <v>230</v>
      </c>
      <c r="B231" s="1">
        <v>791</v>
      </c>
      <c r="C231" s="4"/>
      <c r="D231" s="1" t="s">
        <v>123</v>
      </c>
      <c r="E231" s="1" t="s">
        <v>9</v>
      </c>
      <c r="F231" s="4">
        <v>2851</v>
      </c>
      <c r="G231" s="4" t="s">
        <v>1140</v>
      </c>
      <c r="H231" s="2" t="s">
        <v>14</v>
      </c>
      <c r="I231" s="7" t="s">
        <v>1141</v>
      </c>
      <c r="J231" s="1" t="s">
        <v>69</v>
      </c>
      <c r="K231" s="4" t="s">
        <v>184</v>
      </c>
      <c r="L231" s="4" t="s">
        <v>1142</v>
      </c>
      <c r="M231" s="4" t="s">
        <v>1143</v>
      </c>
      <c r="N231" s="8" t="str">
        <f t="shared" ca="1" si="3"/>
        <v>17 Tahun, 3 Bulan, 24 Hari</v>
      </c>
    </row>
    <row r="232" spans="1:14" x14ac:dyDescent="0.25">
      <c r="A232" s="1">
        <v>231</v>
      </c>
      <c r="B232" s="1">
        <v>788</v>
      </c>
      <c r="C232" s="4"/>
      <c r="D232" s="1" t="s">
        <v>123</v>
      </c>
      <c r="E232" s="1" t="s">
        <v>9</v>
      </c>
      <c r="F232" s="4">
        <v>2798</v>
      </c>
      <c r="G232" s="4" t="s">
        <v>1144</v>
      </c>
      <c r="H232" s="2" t="s">
        <v>14</v>
      </c>
      <c r="I232" s="7">
        <v>39122</v>
      </c>
      <c r="J232" s="1" t="s">
        <v>69</v>
      </c>
      <c r="K232" s="4" t="s">
        <v>154</v>
      </c>
      <c r="L232" s="4" t="s">
        <v>1145</v>
      </c>
      <c r="M232" s="4" t="s">
        <v>1146</v>
      </c>
      <c r="N232" s="8" t="str">
        <f t="shared" ca="1" si="3"/>
        <v>17 Tahun, 10 Bulan, 12 Hari</v>
      </c>
    </row>
    <row r="233" spans="1:14" x14ac:dyDescent="0.25">
      <c r="A233" s="1">
        <v>232</v>
      </c>
      <c r="B233" s="1">
        <v>1116</v>
      </c>
      <c r="C233" s="4"/>
      <c r="D233" s="1" t="s">
        <v>166</v>
      </c>
      <c r="E233" s="1" t="s">
        <v>17</v>
      </c>
      <c r="F233" s="4">
        <v>0</v>
      </c>
      <c r="G233" s="4" t="s">
        <v>1147</v>
      </c>
      <c r="H233" s="2">
        <v>0</v>
      </c>
      <c r="I233" s="7">
        <v>0</v>
      </c>
      <c r="J233" s="1" t="s">
        <v>70</v>
      </c>
      <c r="K233" s="4">
        <v>0</v>
      </c>
      <c r="L233" s="4" t="s">
        <v>1148</v>
      </c>
      <c r="M233" s="4" t="s">
        <v>1149</v>
      </c>
      <c r="N233" s="8" t="str">
        <f t="shared" ca="1" si="3"/>
        <v>124 Tahun, 11 Bulan, 21 Hari</v>
      </c>
    </row>
    <row r="234" spans="1:14" x14ac:dyDescent="0.25">
      <c r="A234" s="1">
        <v>233</v>
      </c>
      <c r="B234" s="1">
        <v>955</v>
      </c>
      <c r="C234" s="4"/>
      <c r="D234" s="1">
        <v>1</v>
      </c>
      <c r="E234" s="1" t="s">
        <v>17</v>
      </c>
      <c r="F234" s="4">
        <v>2910</v>
      </c>
      <c r="G234" s="4" t="s">
        <v>1157</v>
      </c>
      <c r="H234" s="2" t="s">
        <v>14</v>
      </c>
      <c r="I234" s="7">
        <v>38740</v>
      </c>
      <c r="J234" s="1" t="s">
        <v>70</v>
      </c>
      <c r="K234" s="4" t="s">
        <v>1158</v>
      </c>
      <c r="L234" s="4" t="s">
        <v>1159</v>
      </c>
      <c r="M234" s="4" t="s">
        <v>1160</v>
      </c>
      <c r="N234" s="8" t="str">
        <f t="shared" ca="1" si="3"/>
        <v>18 Tahun, 10 Bulan, 28 Hari</v>
      </c>
    </row>
    <row r="235" spans="1:14" x14ac:dyDescent="0.25">
      <c r="A235" s="1">
        <v>234</v>
      </c>
      <c r="B235" s="1">
        <v>751</v>
      </c>
      <c r="C235" s="4" t="s">
        <v>144</v>
      </c>
      <c r="D235" s="1" t="s">
        <v>153</v>
      </c>
      <c r="E235" s="1" t="s">
        <v>9</v>
      </c>
      <c r="F235" s="4">
        <v>2791</v>
      </c>
      <c r="G235" s="4" t="s">
        <v>1150</v>
      </c>
      <c r="H235" s="2" t="s">
        <v>14</v>
      </c>
      <c r="I235" s="7">
        <v>39180</v>
      </c>
      <c r="J235" s="1" t="s">
        <v>70</v>
      </c>
      <c r="K235" s="4" t="s">
        <v>1151</v>
      </c>
      <c r="L235" s="4" t="s">
        <v>1152</v>
      </c>
      <c r="M235" s="4">
        <v>0</v>
      </c>
      <c r="N235" s="8" t="str">
        <f t="shared" ca="1" si="3"/>
        <v>17 Tahun, 8 Bulan, 13 Hari</v>
      </c>
    </row>
    <row r="236" spans="1:14" x14ac:dyDescent="0.25">
      <c r="A236" s="1">
        <v>235</v>
      </c>
      <c r="B236" s="1">
        <v>512</v>
      </c>
      <c r="C236" s="4"/>
      <c r="D236" s="1" t="s">
        <v>243</v>
      </c>
      <c r="E236" s="1" t="s">
        <v>9</v>
      </c>
      <c r="F236" s="4">
        <v>3657</v>
      </c>
      <c r="G236" s="4" t="s">
        <v>1153</v>
      </c>
      <c r="H236" s="2" t="s">
        <v>14</v>
      </c>
      <c r="I236" s="7" t="s">
        <v>1154</v>
      </c>
      <c r="J236" s="1" t="s">
        <v>70</v>
      </c>
      <c r="K236" s="4" t="s">
        <v>1155</v>
      </c>
      <c r="L236" s="4" t="s">
        <v>1156</v>
      </c>
      <c r="M236" s="4">
        <v>0</v>
      </c>
      <c r="N236" s="8" t="str">
        <f t="shared" ca="1" si="3"/>
        <v>18 Tahun, 2 Bulan, 11 Hari</v>
      </c>
    </row>
    <row r="237" spans="1:14" x14ac:dyDescent="0.25">
      <c r="A237" s="1">
        <v>236</v>
      </c>
      <c r="B237" s="1">
        <v>826</v>
      </c>
      <c r="C237" s="4" t="s">
        <v>444</v>
      </c>
      <c r="D237" s="1" t="s">
        <v>113</v>
      </c>
      <c r="E237" s="1" t="s">
        <v>9</v>
      </c>
      <c r="F237" s="4">
        <v>2870</v>
      </c>
      <c r="G237" s="4" t="s">
        <v>1161</v>
      </c>
      <c r="H237" s="2" t="s">
        <v>14</v>
      </c>
      <c r="I237" s="7" t="s">
        <v>1162</v>
      </c>
      <c r="J237" s="1" t="s">
        <v>70</v>
      </c>
      <c r="K237" s="4" t="s">
        <v>184</v>
      </c>
      <c r="L237" s="4" t="s">
        <v>1163</v>
      </c>
      <c r="M237" s="4" t="s">
        <v>1164</v>
      </c>
      <c r="N237" s="8" t="str">
        <f t="shared" ca="1" si="3"/>
        <v>19 Tahun, 5 Bulan, 20 Hari</v>
      </c>
    </row>
    <row r="238" spans="1:14" x14ac:dyDescent="0.25">
      <c r="A238" s="1">
        <v>237</v>
      </c>
      <c r="B238" s="1">
        <v>773</v>
      </c>
      <c r="C238" s="4">
        <v>0</v>
      </c>
      <c r="D238" s="1" t="s">
        <v>153</v>
      </c>
      <c r="E238" s="1" t="s">
        <v>9</v>
      </c>
      <c r="F238" s="4">
        <v>2499</v>
      </c>
      <c r="G238" s="4" t="s">
        <v>1170</v>
      </c>
      <c r="H238" s="2" t="s">
        <v>14</v>
      </c>
      <c r="I238" s="7">
        <v>38161</v>
      </c>
      <c r="J238" s="1" t="s">
        <v>71</v>
      </c>
      <c r="K238" s="4" t="s">
        <v>1171</v>
      </c>
      <c r="L238" s="4" t="s">
        <v>1172</v>
      </c>
      <c r="M238" s="4" t="s">
        <v>1173</v>
      </c>
      <c r="N238" s="8" t="str">
        <f t="shared" ca="1" si="3"/>
        <v>20 Tahun, 5 Bulan, 28 Hari</v>
      </c>
    </row>
    <row r="239" spans="1:14" x14ac:dyDescent="0.25">
      <c r="A239" s="1">
        <v>238</v>
      </c>
      <c r="B239" s="1">
        <v>483</v>
      </c>
      <c r="C239" s="4"/>
      <c r="D239" s="1" t="s">
        <v>110</v>
      </c>
      <c r="E239" s="1" t="s">
        <v>9</v>
      </c>
      <c r="F239" s="4">
        <v>2803</v>
      </c>
      <c r="G239" s="4" t="s">
        <v>1165</v>
      </c>
      <c r="H239" s="2" t="s">
        <v>1166</v>
      </c>
      <c r="I239" s="7">
        <v>38955</v>
      </c>
      <c r="J239" s="1" t="s">
        <v>71</v>
      </c>
      <c r="K239" s="4" t="s">
        <v>1167</v>
      </c>
      <c r="L239" s="4" t="s">
        <v>1168</v>
      </c>
      <c r="M239" s="4" t="s">
        <v>1169</v>
      </c>
      <c r="N239" s="8" t="str">
        <f t="shared" ca="1" si="3"/>
        <v>18 Tahun, 3 Bulan, 25 Hari</v>
      </c>
    </row>
    <row r="240" spans="1:14" x14ac:dyDescent="0.25">
      <c r="A240" s="1">
        <v>239</v>
      </c>
      <c r="B240" s="1">
        <v>1090</v>
      </c>
      <c r="C240" s="4"/>
      <c r="D240" s="1" t="s">
        <v>166</v>
      </c>
      <c r="E240" s="1" t="s">
        <v>17</v>
      </c>
      <c r="F240" s="4">
        <v>1540</v>
      </c>
      <c r="G240" s="4" t="s">
        <v>1174</v>
      </c>
      <c r="H240" s="2" t="s">
        <v>14</v>
      </c>
      <c r="I240" s="7" t="s">
        <v>1175</v>
      </c>
      <c r="J240" s="1" t="s">
        <v>72</v>
      </c>
      <c r="K240" s="4" t="s">
        <v>1176</v>
      </c>
      <c r="L240" s="4" t="s">
        <v>94</v>
      </c>
      <c r="M240" s="4" t="s">
        <v>196</v>
      </c>
      <c r="N240" s="8" t="str">
        <f t="shared" ca="1" si="3"/>
        <v>17 Tahun, 4 Bulan, 20 Hari</v>
      </c>
    </row>
    <row r="241" spans="1:14" x14ac:dyDescent="0.25">
      <c r="A241" s="1">
        <v>240</v>
      </c>
      <c r="B241" s="1">
        <v>909</v>
      </c>
      <c r="C241" s="4"/>
      <c r="D241" s="1">
        <v>1</v>
      </c>
      <c r="E241" s="1" t="s">
        <v>17</v>
      </c>
      <c r="F241" s="4">
        <v>2420</v>
      </c>
      <c r="G241" s="4" t="s">
        <v>1177</v>
      </c>
      <c r="H241" s="2" t="s">
        <v>14</v>
      </c>
      <c r="I241" s="7" t="s">
        <v>187</v>
      </c>
      <c r="J241" s="1" t="s">
        <v>72</v>
      </c>
      <c r="K241" s="4" t="s">
        <v>416</v>
      </c>
      <c r="L241" s="4" t="s">
        <v>1178</v>
      </c>
      <c r="M241" s="4" t="s">
        <v>1179</v>
      </c>
      <c r="N241" s="8" t="str">
        <f t="shared" ca="1" si="3"/>
        <v>17 Tahun, 6 Bulan, 25 Hari</v>
      </c>
    </row>
    <row r="242" spans="1:14" x14ac:dyDescent="0.25">
      <c r="A242" s="1">
        <v>241</v>
      </c>
      <c r="B242" s="1">
        <v>1081</v>
      </c>
      <c r="C242" s="4"/>
      <c r="D242" s="1" t="s">
        <v>166</v>
      </c>
      <c r="E242" s="1" t="s">
        <v>17</v>
      </c>
      <c r="F242" s="4">
        <v>1518</v>
      </c>
      <c r="G242" s="4" t="s">
        <v>1185</v>
      </c>
      <c r="H242" s="2" t="s">
        <v>14</v>
      </c>
      <c r="I242" s="7" t="s">
        <v>1186</v>
      </c>
      <c r="J242" s="1" t="s">
        <v>72</v>
      </c>
      <c r="K242" s="4" t="s">
        <v>1187</v>
      </c>
      <c r="L242" s="4" t="s">
        <v>1188</v>
      </c>
      <c r="M242" s="4">
        <v>0</v>
      </c>
      <c r="N242" s="8" t="str">
        <f t="shared" ca="1" si="3"/>
        <v>21 Tahun, 4 Bulan, 29 Hari</v>
      </c>
    </row>
    <row r="243" spans="1:14" x14ac:dyDescent="0.25">
      <c r="A243" s="1">
        <v>242</v>
      </c>
      <c r="B243" s="1">
        <v>1065</v>
      </c>
      <c r="C243" s="4"/>
      <c r="D243" s="1" t="s">
        <v>128</v>
      </c>
      <c r="E243" s="1" t="s">
        <v>17</v>
      </c>
      <c r="F243" s="4">
        <v>1578</v>
      </c>
      <c r="G243" s="4" t="s">
        <v>1180</v>
      </c>
      <c r="H243" s="2" t="s">
        <v>75</v>
      </c>
      <c r="I243" s="7" t="s">
        <v>1181</v>
      </c>
      <c r="J243" s="1" t="s">
        <v>72</v>
      </c>
      <c r="K243" s="4" t="s">
        <v>1182</v>
      </c>
      <c r="L243" s="4" t="s">
        <v>1183</v>
      </c>
      <c r="M243" s="4" t="s">
        <v>1184</v>
      </c>
      <c r="N243" s="8" t="str">
        <f t="shared" ca="1" si="3"/>
        <v>19 Tahun, 4 Bulan, 20 Hari</v>
      </c>
    </row>
    <row r="244" spans="1:14" x14ac:dyDescent="0.25">
      <c r="A244" s="1">
        <v>243</v>
      </c>
      <c r="B244" s="1">
        <v>769</v>
      </c>
      <c r="C244" s="4" t="s">
        <v>117</v>
      </c>
      <c r="D244" s="1" t="s">
        <v>153</v>
      </c>
      <c r="E244" s="1" t="s">
        <v>9</v>
      </c>
      <c r="F244" s="4">
        <v>2759</v>
      </c>
      <c r="G244" s="4" t="s">
        <v>1190</v>
      </c>
      <c r="H244" s="2" t="s">
        <v>14</v>
      </c>
      <c r="I244" s="7">
        <v>39347</v>
      </c>
      <c r="J244" s="1" t="s">
        <v>73</v>
      </c>
      <c r="K244" s="4" t="s">
        <v>1097</v>
      </c>
      <c r="L244" s="4" t="s">
        <v>1191</v>
      </c>
      <c r="M244" s="4" t="s">
        <v>1192</v>
      </c>
      <c r="N244" s="8" t="str">
        <f t="shared" ca="1" si="3"/>
        <v>17 Tahun, 2 Bulan, 29 Hari</v>
      </c>
    </row>
    <row r="245" spans="1:14" x14ac:dyDescent="0.25">
      <c r="A245" s="1">
        <v>244</v>
      </c>
      <c r="B245" s="1">
        <v>712</v>
      </c>
      <c r="C245" s="4"/>
      <c r="D245" s="1" t="s">
        <v>152</v>
      </c>
      <c r="E245" s="1" t="s">
        <v>9</v>
      </c>
      <c r="F245" s="4">
        <v>3291</v>
      </c>
      <c r="G245" s="4" t="s">
        <v>886</v>
      </c>
      <c r="H245" s="2" t="s">
        <v>14</v>
      </c>
      <c r="I245" s="7">
        <v>39213</v>
      </c>
      <c r="J245" s="1" t="s">
        <v>73</v>
      </c>
      <c r="K245" s="4" t="s">
        <v>1193</v>
      </c>
      <c r="L245" s="4" t="s">
        <v>1194</v>
      </c>
      <c r="M245" s="4">
        <v>0</v>
      </c>
      <c r="N245" s="8" t="str">
        <f t="shared" ca="1" si="3"/>
        <v>17 Tahun, 7 Bulan, 10 Hari</v>
      </c>
    </row>
    <row r="246" spans="1:14" x14ac:dyDescent="0.25">
      <c r="A246" s="1">
        <v>245</v>
      </c>
      <c r="B246" s="1">
        <v>578</v>
      </c>
      <c r="C246" s="4" t="s">
        <v>117</v>
      </c>
      <c r="D246" s="1" t="s">
        <v>198</v>
      </c>
      <c r="E246" s="1" t="s">
        <v>9</v>
      </c>
      <c r="F246" s="4">
        <v>3308</v>
      </c>
      <c r="G246" s="4" t="s">
        <v>1195</v>
      </c>
      <c r="H246" s="2" t="s">
        <v>14</v>
      </c>
      <c r="I246" s="7">
        <v>39220</v>
      </c>
      <c r="J246" s="1" t="s">
        <v>73</v>
      </c>
      <c r="K246" s="4" t="s">
        <v>1196</v>
      </c>
      <c r="L246" s="4" t="s">
        <v>1197</v>
      </c>
      <c r="M246" s="4" t="s">
        <v>1198</v>
      </c>
      <c r="N246" s="8" t="str">
        <f t="shared" ca="1" si="3"/>
        <v>17 Tahun, 7 Bulan, 3 Hari</v>
      </c>
    </row>
    <row r="247" spans="1:14" x14ac:dyDescent="0.25">
      <c r="A247" s="1">
        <v>246</v>
      </c>
      <c r="B247" s="1">
        <v>797</v>
      </c>
      <c r="C247" s="4"/>
      <c r="D247" s="1" t="s">
        <v>123</v>
      </c>
      <c r="E247" s="1" t="s">
        <v>9</v>
      </c>
      <c r="F247" s="4">
        <v>2142</v>
      </c>
      <c r="G247" s="4" t="s">
        <v>1199</v>
      </c>
      <c r="H247" s="2" t="s">
        <v>14</v>
      </c>
      <c r="I247" s="7" t="s">
        <v>1200</v>
      </c>
      <c r="J247" s="1" t="s">
        <v>73</v>
      </c>
      <c r="K247" s="4" t="s">
        <v>787</v>
      </c>
      <c r="L247" s="4" t="s">
        <v>1201</v>
      </c>
      <c r="M247" s="4" t="s">
        <v>1202</v>
      </c>
      <c r="N247" s="8" t="str">
        <f t="shared" ca="1" si="3"/>
        <v>19 Tahun, 2 Bulan, 10 Hari</v>
      </c>
    </row>
    <row r="248" spans="1:14" x14ac:dyDescent="0.25">
      <c r="A248" s="1">
        <v>247</v>
      </c>
      <c r="B248" s="1">
        <v>1087</v>
      </c>
      <c r="C248" s="4"/>
      <c r="D248" s="1" t="s">
        <v>166</v>
      </c>
      <c r="E248" s="1" t="s">
        <v>17</v>
      </c>
      <c r="F248" s="4">
        <v>1533</v>
      </c>
      <c r="G248" s="4" t="s">
        <v>1203</v>
      </c>
      <c r="H248" s="2" t="s">
        <v>14</v>
      </c>
      <c r="I248" s="7" t="s">
        <v>1204</v>
      </c>
      <c r="J248" s="1" t="s">
        <v>74</v>
      </c>
      <c r="K248" s="4" t="s">
        <v>1205</v>
      </c>
      <c r="L248" s="4" t="s">
        <v>1206</v>
      </c>
      <c r="M248" s="4" t="s">
        <v>1207</v>
      </c>
      <c r="N248" s="8" t="str">
        <f t="shared" ca="1" si="3"/>
        <v>21 Tahun, 10 Bulan, 1 Hari</v>
      </c>
    </row>
    <row r="249" spans="1:14" x14ac:dyDescent="0.25">
      <c r="A249" s="1">
        <v>248</v>
      </c>
      <c r="B249" s="1">
        <v>918</v>
      </c>
      <c r="C249" s="4"/>
      <c r="D249" s="1">
        <v>1</v>
      </c>
      <c r="E249" s="1" t="s">
        <v>17</v>
      </c>
      <c r="F249" s="4">
        <v>2908</v>
      </c>
      <c r="G249" s="4" t="s">
        <v>1215</v>
      </c>
      <c r="H249" s="2" t="s">
        <v>75</v>
      </c>
      <c r="I249" s="7">
        <v>38457</v>
      </c>
      <c r="J249" s="1" t="s">
        <v>74</v>
      </c>
      <c r="K249" s="4" t="s">
        <v>1216</v>
      </c>
      <c r="L249" s="4" t="s">
        <v>1217</v>
      </c>
      <c r="M249" s="4" t="s">
        <v>1218</v>
      </c>
      <c r="N249" s="8" t="str">
        <f t="shared" ca="1" si="3"/>
        <v>19 Tahun, 8 Bulan, 6 Hari</v>
      </c>
    </row>
    <row r="250" spans="1:14" x14ac:dyDescent="0.25">
      <c r="A250" s="1">
        <v>249</v>
      </c>
      <c r="B250" s="1">
        <v>668</v>
      </c>
      <c r="C250" s="4" t="s">
        <v>117</v>
      </c>
      <c r="D250" s="1" t="s">
        <v>128</v>
      </c>
      <c r="E250" s="1" t="s">
        <v>9</v>
      </c>
      <c r="F250" s="4">
        <v>3259</v>
      </c>
      <c r="G250" s="4" t="s">
        <v>1208</v>
      </c>
      <c r="H250" s="2" t="s">
        <v>14</v>
      </c>
      <c r="I250" s="7" t="s">
        <v>1209</v>
      </c>
      <c r="J250" s="1" t="s">
        <v>74</v>
      </c>
      <c r="K250" s="4" t="s">
        <v>1210</v>
      </c>
      <c r="L250" s="4" t="s">
        <v>1101</v>
      </c>
      <c r="M250" s="4" t="s">
        <v>1102</v>
      </c>
      <c r="N250" s="8" t="str">
        <f t="shared" ca="1" si="3"/>
        <v>17 Tahun, 2 Bulan, 11 Hari</v>
      </c>
    </row>
    <row r="251" spans="1:14" x14ac:dyDescent="0.25">
      <c r="A251" s="1">
        <v>250</v>
      </c>
      <c r="B251" s="1">
        <v>895</v>
      </c>
      <c r="C251" s="4"/>
      <c r="D251" s="1">
        <v>1</v>
      </c>
      <c r="E251" s="1" t="s">
        <v>17</v>
      </c>
      <c r="F251" s="4">
        <v>2533</v>
      </c>
      <c r="G251" s="4" t="s">
        <v>850</v>
      </c>
      <c r="H251" s="2" t="s">
        <v>14</v>
      </c>
      <c r="I251" s="7" t="s">
        <v>851</v>
      </c>
      <c r="J251" s="1" t="s">
        <v>25</v>
      </c>
      <c r="K251" s="4" t="s">
        <v>852</v>
      </c>
      <c r="L251" s="4" t="s">
        <v>853</v>
      </c>
      <c r="M251" s="4" t="s">
        <v>854</v>
      </c>
      <c r="N251" s="8" t="str">
        <f t="shared" ca="1" si="3"/>
        <v>17 Tahun, 3 Bulan, 29 Hari</v>
      </c>
    </row>
    <row r="252" spans="1:14" x14ac:dyDescent="0.25">
      <c r="A252" s="1">
        <v>251</v>
      </c>
      <c r="B252" s="1">
        <v>1068</v>
      </c>
      <c r="C252" s="4"/>
      <c r="D252" s="1" t="s">
        <v>128</v>
      </c>
      <c r="E252" s="1" t="s">
        <v>17</v>
      </c>
      <c r="F252" s="4">
        <v>1585</v>
      </c>
      <c r="G252" s="4" t="s">
        <v>1221</v>
      </c>
      <c r="H252" s="2" t="s">
        <v>14</v>
      </c>
      <c r="I252" s="7" t="s">
        <v>1222</v>
      </c>
      <c r="J252" s="1" t="s">
        <v>25</v>
      </c>
      <c r="K252" s="4" t="s">
        <v>1223</v>
      </c>
      <c r="L252" s="4" t="s">
        <v>719</v>
      </c>
      <c r="M252" s="4" t="s">
        <v>1224</v>
      </c>
      <c r="N252" s="8" t="str">
        <f t="shared" ca="1" si="3"/>
        <v>17 Tahun, 4 Bulan, 1 Hari</v>
      </c>
    </row>
    <row r="253" spans="1:14" x14ac:dyDescent="0.25">
      <c r="A253" s="1">
        <v>252</v>
      </c>
      <c r="B253" s="1">
        <v>999</v>
      </c>
      <c r="C253" s="4"/>
      <c r="D253" s="1">
        <v>1</v>
      </c>
      <c r="E253" s="1" t="s">
        <v>17</v>
      </c>
      <c r="F253" s="4">
        <v>3130</v>
      </c>
      <c r="G253" s="4" t="s">
        <v>1257</v>
      </c>
      <c r="H253" s="2" t="s">
        <v>14</v>
      </c>
      <c r="I253" s="7">
        <v>39207</v>
      </c>
      <c r="J253" s="1" t="s">
        <v>25</v>
      </c>
      <c r="K253" s="4" t="s">
        <v>626</v>
      </c>
      <c r="L253" s="4" t="s">
        <v>1258</v>
      </c>
      <c r="M253" s="4" t="s">
        <v>1259</v>
      </c>
      <c r="N253" s="8" t="str">
        <f t="shared" ca="1" si="3"/>
        <v>17 Tahun, 7 Bulan, 16 Hari</v>
      </c>
    </row>
    <row r="254" spans="1:14" x14ac:dyDescent="0.25">
      <c r="A254" s="1">
        <v>253</v>
      </c>
      <c r="B254" s="1">
        <v>1108</v>
      </c>
      <c r="C254" s="4"/>
      <c r="D254" s="1" t="s">
        <v>166</v>
      </c>
      <c r="E254" s="1" t="s">
        <v>17</v>
      </c>
      <c r="F254" s="4">
        <v>1583</v>
      </c>
      <c r="G254" s="4" t="s">
        <v>1211</v>
      </c>
      <c r="H254" s="2" t="s">
        <v>14</v>
      </c>
      <c r="I254" s="7" t="s">
        <v>1212</v>
      </c>
      <c r="J254" s="1" t="s">
        <v>25</v>
      </c>
      <c r="K254" s="4" t="s">
        <v>1213</v>
      </c>
      <c r="L254" s="4" t="s">
        <v>1214</v>
      </c>
      <c r="M254" s="4" t="s">
        <v>702</v>
      </c>
      <c r="N254" s="8" t="str">
        <f t="shared" ca="1" si="3"/>
        <v>18 Tahun, 0 Bulan, 29 Hari</v>
      </c>
    </row>
    <row r="255" spans="1:14" x14ac:dyDescent="0.25">
      <c r="A255" s="1">
        <v>254</v>
      </c>
      <c r="B255" s="1">
        <v>1039</v>
      </c>
      <c r="C255" s="4"/>
      <c r="D255" s="1" t="s">
        <v>118</v>
      </c>
      <c r="E255" s="1" t="s">
        <v>17</v>
      </c>
      <c r="F255" s="4">
        <v>1605</v>
      </c>
      <c r="G255" s="4" t="s">
        <v>1225</v>
      </c>
      <c r="H255" s="2" t="s">
        <v>14</v>
      </c>
      <c r="I255" s="7" t="s">
        <v>1226</v>
      </c>
      <c r="J255" s="1" t="s">
        <v>25</v>
      </c>
      <c r="K255" s="4" t="s">
        <v>1227</v>
      </c>
      <c r="L255" s="4" t="s">
        <v>1228</v>
      </c>
      <c r="M255" s="4" t="s">
        <v>1229</v>
      </c>
      <c r="N255" s="8" t="str">
        <f t="shared" ca="1" si="3"/>
        <v>20 Tahun, 0 Bulan, 1 Hari</v>
      </c>
    </row>
    <row r="256" spans="1:14" x14ac:dyDescent="0.25">
      <c r="A256" s="1">
        <v>255</v>
      </c>
      <c r="B256" s="1">
        <v>948</v>
      </c>
      <c r="C256" s="4"/>
      <c r="D256" s="1">
        <v>1</v>
      </c>
      <c r="E256" s="1" t="s">
        <v>17</v>
      </c>
      <c r="F256" s="4">
        <v>2520</v>
      </c>
      <c r="G256" s="4" t="s">
        <v>314</v>
      </c>
      <c r="H256" s="2" t="s">
        <v>14</v>
      </c>
      <c r="I256" s="7" t="s">
        <v>315</v>
      </c>
      <c r="J256" s="1" t="s">
        <v>25</v>
      </c>
      <c r="K256" s="4" t="s">
        <v>316</v>
      </c>
      <c r="L256" s="4" t="s">
        <v>317</v>
      </c>
      <c r="M256" s="4" t="s">
        <v>318</v>
      </c>
      <c r="N256" s="8" t="str">
        <f t="shared" ca="1" si="3"/>
        <v>19 Tahun, 3 Bulan, 1 Hari</v>
      </c>
    </row>
    <row r="257" spans="1:14" x14ac:dyDescent="0.25">
      <c r="A257" s="1">
        <v>256</v>
      </c>
      <c r="B257" s="1">
        <v>576</v>
      </c>
      <c r="C257" s="4" t="s">
        <v>197</v>
      </c>
      <c r="D257" s="1" t="s">
        <v>198</v>
      </c>
      <c r="E257" s="1" t="s">
        <v>9</v>
      </c>
      <c r="F257" s="4">
        <v>3699</v>
      </c>
      <c r="G257" s="4" t="s">
        <v>897</v>
      </c>
      <c r="H257" s="2" t="s">
        <v>14</v>
      </c>
      <c r="I257" s="7">
        <v>39341</v>
      </c>
      <c r="J257" s="1" t="s">
        <v>25</v>
      </c>
      <c r="K257" s="4" t="s">
        <v>898</v>
      </c>
      <c r="L257" s="4" t="s">
        <v>1219</v>
      </c>
      <c r="M257" s="4" t="s">
        <v>1220</v>
      </c>
      <c r="N257" s="8" t="str">
        <f t="shared" ca="1" si="3"/>
        <v>17 Tahun, 3 Bulan, 5 Hari</v>
      </c>
    </row>
    <row r="258" spans="1:14" x14ac:dyDescent="0.25">
      <c r="A258" s="1">
        <v>257</v>
      </c>
      <c r="B258" s="1">
        <v>974</v>
      </c>
      <c r="C258" s="4"/>
      <c r="D258" s="1">
        <v>1</v>
      </c>
      <c r="E258" s="1" t="s">
        <v>17</v>
      </c>
      <c r="F258" s="4">
        <v>3132</v>
      </c>
      <c r="G258" s="4" t="s">
        <v>1233</v>
      </c>
      <c r="H258" s="2" t="s">
        <v>14</v>
      </c>
      <c r="I258" s="7">
        <v>39078</v>
      </c>
      <c r="J258" s="1" t="s">
        <v>76</v>
      </c>
      <c r="K258" s="4" t="s">
        <v>1234</v>
      </c>
      <c r="L258" s="4" t="s">
        <v>745</v>
      </c>
      <c r="M258" s="4" t="s">
        <v>1235</v>
      </c>
      <c r="N258" s="8" t="str">
        <f t="shared" ref="N258:N321" ca="1" si="4">DATEDIF(I258,NOW(),"Y")&amp;" Tahun, "&amp;DATEDIF(I258,NOW(),"YM")&amp;" Bulan, "&amp;DATEDIF(I258,NOW(),"MD")&amp;" Hari"</f>
        <v>17 Tahun, 11 Bulan, 24 Hari</v>
      </c>
    </row>
    <row r="259" spans="1:14" x14ac:dyDescent="0.25">
      <c r="A259" s="1">
        <v>258</v>
      </c>
      <c r="B259" s="1">
        <v>1095</v>
      </c>
      <c r="C259" s="4"/>
      <c r="D259" s="1" t="s">
        <v>166</v>
      </c>
      <c r="E259" s="1" t="s">
        <v>17</v>
      </c>
      <c r="F259" s="4">
        <v>1553</v>
      </c>
      <c r="G259" s="4" t="s">
        <v>1236</v>
      </c>
      <c r="H259" s="2" t="s">
        <v>14</v>
      </c>
      <c r="I259" s="7" t="s">
        <v>1237</v>
      </c>
      <c r="J259" s="1" t="s">
        <v>76</v>
      </c>
      <c r="K259" s="4" t="s">
        <v>1238</v>
      </c>
      <c r="L259" s="4" t="s">
        <v>1239</v>
      </c>
      <c r="M259" s="4" t="s">
        <v>1240</v>
      </c>
      <c r="N259" s="8" t="str">
        <f t="shared" ca="1" si="4"/>
        <v>18 Tahun, 2 Bulan, 28 Hari</v>
      </c>
    </row>
    <row r="260" spans="1:14" x14ac:dyDescent="0.25">
      <c r="A260" s="1">
        <v>259</v>
      </c>
      <c r="B260" s="1">
        <v>1069</v>
      </c>
      <c r="C260" s="4"/>
      <c r="D260" s="1" t="s">
        <v>128</v>
      </c>
      <c r="E260" s="1" t="s">
        <v>17</v>
      </c>
      <c r="F260" s="4">
        <v>1587</v>
      </c>
      <c r="G260" s="4" t="s">
        <v>1241</v>
      </c>
      <c r="H260" s="2" t="s">
        <v>14</v>
      </c>
      <c r="I260" s="7" t="s">
        <v>1242</v>
      </c>
      <c r="J260" s="1" t="s">
        <v>76</v>
      </c>
      <c r="K260" s="4" t="s">
        <v>1243</v>
      </c>
      <c r="L260" s="4" t="s">
        <v>649</v>
      </c>
      <c r="M260" s="4" t="s">
        <v>1244</v>
      </c>
      <c r="N260" s="8" t="str">
        <f t="shared" ca="1" si="4"/>
        <v>19 Tahun, 5 Bulan, 26 Hari</v>
      </c>
    </row>
    <row r="261" spans="1:14" x14ac:dyDescent="0.25">
      <c r="A261" s="1">
        <v>260</v>
      </c>
      <c r="B261" s="1">
        <v>623</v>
      </c>
      <c r="C261" s="4" t="s">
        <v>846</v>
      </c>
      <c r="D261" s="1" t="s">
        <v>118</v>
      </c>
      <c r="E261" s="1" t="s">
        <v>9</v>
      </c>
      <c r="F261" s="4">
        <v>3512</v>
      </c>
      <c r="G261" s="4" t="s">
        <v>1230</v>
      </c>
      <c r="H261" s="2" t="s">
        <v>14</v>
      </c>
      <c r="I261" s="7">
        <v>0</v>
      </c>
      <c r="J261" s="1" t="s">
        <v>76</v>
      </c>
      <c r="K261" s="4" t="s">
        <v>1231</v>
      </c>
      <c r="L261" s="4" t="s">
        <v>818</v>
      </c>
      <c r="M261" s="4" t="s">
        <v>1232</v>
      </c>
      <c r="N261" s="8" t="str">
        <f t="shared" ca="1" si="4"/>
        <v>124 Tahun, 11 Bulan, 21 Hari</v>
      </c>
    </row>
    <row r="262" spans="1:14" x14ac:dyDescent="0.25">
      <c r="A262" s="1">
        <v>261</v>
      </c>
      <c r="B262" s="1">
        <v>900</v>
      </c>
      <c r="C262" s="4"/>
      <c r="D262" s="1">
        <v>1</v>
      </c>
      <c r="E262" s="1" t="s">
        <v>17</v>
      </c>
      <c r="F262" s="4">
        <v>2901</v>
      </c>
      <c r="G262" s="4" t="s">
        <v>598</v>
      </c>
      <c r="H262" s="2" t="s">
        <v>14</v>
      </c>
      <c r="I262" s="7">
        <v>38668</v>
      </c>
      <c r="J262" s="1" t="s">
        <v>39</v>
      </c>
      <c r="K262" s="4" t="s">
        <v>431</v>
      </c>
      <c r="L262" s="4" t="s">
        <v>104</v>
      </c>
      <c r="M262" s="4" t="s">
        <v>599</v>
      </c>
      <c r="N262" s="8" t="str">
        <f t="shared" ca="1" si="4"/>
        <v>19 Tahun, 1 Bulan, 9 Hari</v>
      </c>
    </row>
    <row r="263" spans="1:14" x14ac:dyDescent="0.25">
      <c r="A263" s="1">
        <v>262</v>
      </c>
      <c r="B263" s="1">
        <v>1047</v>
      </c>
      <c r="C263" s="4"/>
      <c r="D263" s="1" t="s">
        <v>128</v>
      </c>
      <c r="E263" s="1" t="s">
        <v>17</v>
      </c>
      <c r="F263" s="4">
        <v>1527</v>
      </c>
      <c r="G263" s="4" t="s">
        <v>1253</v>
      </c>
      <c r="H263" s="2" t="s">
        <v>14</v>
      </c>
      <c r="I263" s="7" t="s">
        <v>493</v>
      </c>
      <c r="J263" s="1" t="s">
        <v>39</v>
      </c>
      <c r="K263" s="4" t="s">
        <v>1254</v>
      </c>
      <c r="L263" s="4" t="s">
        <v>1255</v>
      </c>
      <c r="M263" s="4" t="s">
        <v>1256</v>
      </c>
      <c r="N263" s="8" t="str">
        <f t="shared" ca="1" si="4"/>
        <v>21 Tahun, 5 Bulan, 14 Hari</v>
      </c>
    </row>
    <row r="264" spans="1:14" x14ac:dyDescent="0.25">
      <c r="A264" s="1">
        <v>263</v>
      </c>
      <c r="B264" s="1">
        <v>691</v>
      </c>
      <c r="C264" s="4" t="s">
        <v>112</v>
      </c>
      <c r="D264" s="1" t="s">
        <v>166</v>
      </c>
      <c r="E264" s="1" t="s">
        <v>9</v>
      </c>
      <c r="F264" s="4">
        <v>3268</v>
      </c>
      <c r="G264" s="4" t="s">
        <v>1249</v>
      </c>
      <c r="H264" s="2" t="s">
        <v>14</v>
      </c>
      <c r="I264" s="7">
        <v>39011</v>
      </c>
      <c r="J264" s="1" t="s">
        <v>39</v>
      </c>
      <c r="K264" s="4" t="s">
        <v>1250</v>
      </c>
      <c r="L264" s="4" t="s">
        <v>1251</v>
      </c>
      <c r="M264" s="4" t="s">
        <v>1252</v>
      </c>
      <c r="N264" s="8" t="str">
        <f t="shared" ca="1" si="4"/>
        <v>18 Tahun, 2 Bulan, 0 Hari</v>
      </c>
    </row>
    <row r="265" spans="1:14" x14ac:dyDescent="0.25">
      <c r="A265" s="1">
        <v>264</v>
      </c>
      <c r="B265" s="1">
        <v>1059</v>
      </c>
      <c r="C265" s="4"/>
      <c r="D265" s="1" t="s">
        <v>128</v>
      </c>
      <c r="E265" s="1" t="s">
        <v>17</v>
      </c>
      <c r="F265" s="4">
        <v>0</v>
      </c>
      <c r="G265" s="4" t="s">
        <v>1260</v>
      </c>
      <c r="H265" s="2">
        <v>0</v>
      </c>
      <c r="I265" s="7">
        <v>0</v>
      </c>
      <c r="J265" s="1" t="s">
        <v>77</v>
      </c>
      <c r="K265" s="4" t="s">
        <v>276</v>
      </c>
      <c r="L265" s="4" t="s">
        <v>336</v>
      </c>
      <c r="M265" s="4" t="s">
        <v>1261</v>
      </c>
      <c r="N265" s="8" t="str">
        <f t="shared" ca="1" si="4"/>
        <v>124 Tahun, 11 Bulan, 21 Hari</v>
      </c>
    </row>
    <row r="266" spans="1:14" x14ac:dyDescent="0.25">
      <c r="A266" s="1">
        <v>265</v>
      </c>
      <c r="B266" s="1">
        <v>1100</v>
      </c>
      <c r="C266" s="4"/>
      <c r="D266" s="1" t="s">
        <v>166</v>
      </c>
      <c r="E266" s="1" t="s">
        <v>17</v>
      </c>
      <c r="F266" s="4">
        <v>1559</v>
      </c>
      <c r="G266" s="4" t="s">
        <v>1267</v>
      </c>
      <c r="H266" s="2" t="s">
        <v>14</v>
      </c>
      <c r="I266" s="7" t="s">
        <v>1268</v>
      </c>
      <c r="J266" s="1" t="s">
        <v>78</v>
      </c>
      <c r="K266" s="4" t="s">
        <v>1269</v>
      </c>
      <c r="L266" s="4" t="s">
        <v>1270</v>
      </c>
      <c r="M266" s="4" t="s">
        <v>1271</v>
      </c>
      <c r="N266" s="8" t="str">
        <f t="shared" ca="1" si="4"/>
        <v>18 Tahun, 11 Bulan, 24 Hari</v>
      </c>
    </row>
    <row r="267" spans="1:14" x14ac:dyDescent="0.25">
      <c r="A267" s="1">
        <v>266</v>
      </c>
      <c r="B267" s="1">
        <v>696</v>
      </c>
      <c r="C267" s="4" t="s">
        <v>117</v>
      </c>
      <c r="D267" s="1" t="s">
        <v>166</v>
      </c>
      <c r="E267" s="1" t="s">
        <v>9</v>
      </c>
      <c r="F267" s="4">
        <v>3274</v>
      </c>
      <c r="G267" s="4" t="s">
        <v>1262</v>
      </c>
      <c r="H267" s="2" t="s">
        <v>14</v>
      </c>
      <c r="I267" s="7">
        <v>39351</v>
      </c>
      <c r="J267" s="1" t="s">
        <v>78</v>
      </c>
      <c r="K267" s="4" t="s">
        <v>1263</v>
      </c>
      <c r="L267" s="4" t="s">
        <v>459</v>
      </c>
      <c r="M267" s="4" t="s">
        <v>1264</v>
      </c>
      <c r="N267" s="8" t="str">
        <f t="shared" ca="1" si="4"/>
        <v>17 Tahun, 2 Bulan, 25 Hari</v>
      </c>
    </row>
    <row r="268" spans="1:14" x14ac:dyDescent="0.25">
      <c r="A268" s="1">
        <v>267</v>
      </c>
      <c r="B268" s="1">
        <v>647</v>
      </c>
      <c r="C268" s="4" t="s">
        <v>117</v>
      </c>
      <c r="D268" s="1" t="s">
        <v>118</v>
      </c>
      <c r="E268" s="1" t="s">
        <v>9</v>
      </c>
      <c r="F268" s="4">
        <v>3226</v>
      </c>
      <c r="G268" s="4" t="s">
        <v>1265</v>
      </c>
      <c r="H268" s="2" t="s">
        <v>14</v>
      </c>
      <c r="I268" s="7">
        <v>39230</v>
      </c>
      <c r="J268" s="1" t="s">
        <v>78</v>
      </c>
      <c r="K268" s="4" t="s">
        <v>1266</v>
      </c>
      <c r="L268" s="4" t="s">
        <v>745</v>
      </c>
      <c r="M268" s="4" t="s">
        <v>746</v>
      </c>
      <c r="N268" s="8" t="str">
        <f t="shared" ca="1" si="4"/>
        <v>17 Tahun, 6 Bulan, 23 Hari</v>
      </c>
    </row>
    <row r="269" spans="1:14" x14ac:dyDescent="0.25">
      <c r="A269" s="1">
        <v>268</v>
      </c>
      <c r="B269" s="1">
        <v>970</v>
      </c>
      <c r="C269" s="4"/>
      <c r="D269" s="1">
        <v>1</v>
      </c>
      <c r="E269" s="1" t="s">
        <v>17</v>
      </c>
      <c r="F269" s="4">
        <v>2410</v>
      </c>
      <c r="G269" s="4" t="s">
        <v>1272</v>
      </c>
      <c r="H269" s="2" t="s">
        <v>75</v>
      </c>
      <c r="I269" s="7" t="s">
        <v>1273</v>
      </c>
      <c r="J269" s="1" t="s">
        <v>23</v>
      </c>
      <c r="K269" s="4" t="s">
        <v>1274</v>
      </c>
      <c r="L269" s="4" t="s">
        <v>1275</v>
      </c>
      <c r="M269" s="4" t="s">
        <v>108</v>
      </c>
      <c r="N269" s="8" t="str">
        <f t="shared" ca="1" si="4"/>
        <v>17 Tahun, 4 Bulan, 24 Hari</v>
      </c>
    </row>
    <row r="270" spans="1:14" x14ac:dyDescent="0.25">
      <c r="A270" s="1">
        <v>269</v>
      </c>
      <c r="B270" s="1">
        <v>959</v>
      </c>
      <c r="C270" s="4"/>
      <c r="D270" s="1">
        <v>1</v>
      </c>
      <c r="E270" s="1" t="s">
        <v>17</v>
      </c>
      <c r="F270" s="4">
        <v>2428</v>
      </c>
      <c r="G270" s="4" t="s">
        <v>262</v>
      </c>
      <c r="H270" s="2" t="s">
        <v>75</v>
      </c>
      <c r="I270" s="7" t="s">
        <v>263</v>
      </c>
      <c r="J270" s="1" t="s">
        <v>23</v>
      </c>
      <c r="K270" s="4" t="s">
        <v>264</v>
      </c>
      <c r="L270" s="4" t="s">
        <v>265</v>
      </c>
      <c r="M270" s="4">
        <v>0</v>
      </c>
      <c r="N270" s="8" t="str">
        <f t="shared" ca="1" si="4"/>
        <v>18 Tahun, 1 Bulan, 15 Hari</v>
      </c>
    </row>
    <row r="271" spans="1:14" x14ac:dyDescent="0.25">
      <c r="A271" s="1">
        <v>270</v>
      </c>
      <c r="B271" s="1">
        <v>729</v>
      </c>
      <c r="C271" s="4"/>
      <c r="D271" s="1" t="s">
        <v>152</v>
      </c>
      <c r="E271" s="1" t="s">
        <v>9</v>
      </c>
      <c r="F271" s="4">
        <v>3301</v>
      </c>
      <c r="G271" s="4" t="s">
        <v>1286</v>
      </c>
      <c r="H271" s="2" t="s">
        <v>75</v>
      </c>
      <c r="I271" s="7">
        <v>39255</v>
      </c>
      <c r="J271" s="1" t="s">
        <v>23</v>
      </c>
      <c r="K271" s="4" t="s">
        <v>1287</v>
      </c>
      <c r="L271" s="4" t="s">
        <v>1288</v>
      </c>
      <c r="M271" s="4" t="s">
        <v>1289</v>
      </c>
      <c r="N271" s="8" t="str">
        <f t="shared" ca="1" si="4"/>
        <v>17 Tahun, 5 Bulan, 29 Hari</v>
      </c>
    </row>
    <row r="272" spans="1:14" x14ac:dyDescent="0.25">
      <c r="A272" s="1">
        <v>271</v>
      </c>
      <c r="B272" s="1">
        <v>822</v>
      </c>
      <c r="C272" s="4" t="s">
        <v>112</v>
      </c>
      <c r="D272" s="1" t="s">
        <v>113</v>
      </c>
      <c r="E272" s="1" t="s">
        <v>9</v>
      </c>
      <c r="F272" s="4">
        <v>2755</v>
      </c>
      <c r="G272" s="4" t="s">
        <v>1290</v>
      </c>
      <c r="H272" s="2" t="s">
        <v>75</v>
      </c>
      <c r="I272" s="7">
        <v>38452</v>
      </c>
      <c r="J272" s="1" t="s">
        <v>23</v>
      </c>
      <c r="K272" s="4" t="s">
        <v>1291</v>
      </c>
      <c r="L272" s="4" t="s">
        <v>1292</v>
      </c>
      <c r="M272" s="4" t="s">
        <v>1248</v>
      </c>
      <c r="N272" s="8" t="str">
        <f t="shared" ca="1" si="4"/>
        <v>19 Tahun, 8 Bulan, 11 Hari</v>
      </c>
    </row>
    <row r="273" spans="1:14" x14ac:dyDescent="0.25">
      <c r="A273" s="1">
        <v>272</v>
      </c>
      <c r="B273" s="1">
        <v>1009</v>
      </c>
      <c r="C273" s="4"/>
      <c r="D273" s="1" t="s">
        <v>118</v>
      </c>
      <c r="E273" s="1" t="s">
        <v>17</v>
      </c>
      <c r="F273" s="4">
        <v>1517</v>
      </c>
      <c r="G273" s="4" t="s">
        <v>771</v>
      </c>
      <c r="H273" s="2" t="s">
        <v>14</v>
      </c>
      <c r="I273" s="7" t="s">
        <v>772</v>
      </c>
      <c r="J273" s="1" t="s">
        <v>47</v>
      </c>
      <c r="K273" s="4" t="s">
        <v>773</v>
      </c>
      <c r="L273" s="4" t="s">
        <v>774</v>
      </c>
      <c r="M273" s="4">
        <v>0</v>
      </c>
      <c r="N273" s="8" t="str">
        <f t="shared" ca="1" si="4"/>
        <v>19 Tahun, 7 Bulan, 5 Hari</v>
      </c>
    </row>
    <row r="274" spans="1:14" x14ac:dyDescent="0.25">
      <c r="A274" s="1">
        <v>273</v>
      </c>
      <c r="B274" s="1">
        <v>532</v>
      </c>
      <c r="C274" s="4" t="s">
        <v>117</v>
      </c>
      <c r="D274" s="1" t="s">
        <v>206</v>
      </c>
      <c r="E274" s="1" t="s">
        <v>9</v>
      </c>
      <c r="F274" s="4">
        <v>3694</v>
      </c>
      <c r="G274" s="4" t="s">
        <v>1282</v>
      </c>
      <c r="H274" s="2" t="s">
        <v>75</v>
      </c>
      <c r="I274" s="7" t="s">
        <v>1283</v>
      </c>
      <c r="J274" s="1" t="s">
        <v>47</v>
      </c>
      <c r="K274" s="4" t="s">
        <v>1284</v>
      </c>
      <c r="L274" s="4" t="s">
        <v>1285</v>
      </c>
      <c r="M274" s="4" t="s">
        <v>541</v>
      </c>
      <c r="N274" s="8" t="str">
        <f t="shared" ca="1" si="4"/>
        <v>17 Tahun, 2 Bulan, 11 Hari</v>
      </c>
    </row>
    <row r="275" spans="1:14" x14ac:dyDescent="0.25">
      <c r="A275" s="1">
        <v>274</v>
      </c>
      <c r="B275" s="1">
        <v>924</v>
      </c>
      <c r="C275" s="4"/>
      <c r="D275" s="1">
        <v>1</v>
      </c>
      <c r="E275" s="1" t="s">
        <v>17</v>
      </c>
      <c r="F275" s="4">
        <v>2432</v>
      </c>
      <c r="G275" s="4" t="s">
        <v>1308</v>
      </c>
      <c r="H275" s="2" t="s">
        <v>14</v>
      </c>
      <c r="I275" s="7" t="s">
        <v>1309</v>
      </c>
      <c r="J275" s="1" t="s">
        <v>44</v>
      </c>
      <c r="K275" s="4" t="s">
        <v>1131</v>
      </c>
      <c r="L275" s="4" t="s">
        <v>1310</v>
      </c>
      <c r="M275" s="4" t="s">
        <v>1311</v>
      </c>
      <c r="N275" s="8" t="str">
        <f t="shared" ca="1" si="4"/>
        <v>18 Tahun, 6 Bulan, 16 Hari</v>
      </c>
    </row>
    <row r="276" spans="1:14" x14ac:dyDescent="0.25">
      <c r="A276" s="1">
        <v>275</v>
      </c>
      <c r="B276" s="1">
        <v>1007</v>
      </c>
      <c r="C276" s="4"/>
      <c r="D276" s="1" t="s">
        <v>118</v>
      </c>
      <c r="E276" s="1" t="s">
        <v>17</v>
      </c>
      <c r="F276" s="4">
        <v>1515</v>
      </c>
      <c r="G276" s="4" t="s">
        <v>710</v>
      </c>
      <c r="H276" s="2" t="s">
        <v>14</v>
      </c>
      <c r="I276" s="7" t="s">
        <v>711</v>
      </c>
      <c r="J276" s="1" t="s">
        <v>44</v>
      </c>
      <c r="K276" s="4" t="s">
        <v>712</v>
      </c>
      <c r="L276" s="4" t="s">
        <v>713</v>
      </c>
      <c r="M276" s="4">
        <v>0</v>
      </c>
      <c r="N276" s="8" t="str">
        <f t="shared" ca="1" si="4"/>
        <v>20 Tahun, 3 Bulan, 12 Hari</v>
      </c>
    </row>
    <row r="277" spans="1:14" x14ac:dyDescent="0.25">
      <c r="A277" s="1">
        <v>276</v>
      </c>
      <c r="B277" s="1">
        <v>1082</v>
      </c>
      <c r="C277" s="4"/>
      <c r="D277" s="1" t="s">
        <v>166</v>
      </c>
      <c r="E277" s="1" t="s">
        <v>17</v>
      </c>
      <c r="F277" s="4">
        <v>1519</v>
      </c>
      <c r="G277" s="4" t="s">
        <v>1293</v>
      </c>
      <c r="H277" s="2" t="s">
        <v>75</v>
      </c>
      <c r="I277" s="7" t="s">
        <v>1294</v>
      </c>
      <c r="J277" s="1" t="s">
        <v>44</v>
      </c>
      <c r="K277" s="4" t="s">
        <v>1295</v>
      </c>
      <c r="L277" s="4" t="s">
        <v>1296</v>
      </c>
      <c r="M277" s="4" t="s">
        <v>1297</v>
      </c>
      <c r="N277" s="8" t="str">
        <f t="shared" ca="1" si="4"/>
        <v>20 Tahun, 1 Bulan, 7 Hari</v>
      </c>
    </row>
    <row r="278" spans="1:14" x14ac:dyDescent="0.25">
      <c r="A278" s="1">
        <v>277</v>
      </c>
      <c r="B278" s="1">
        <v>809</v>
      </c>
      <c r="C278" s="4"/>
      <c r="D278" s="1" t="s">
        <v>123</v>
      </c>
      <c r="E278" s="1" t="s">
        <v>9</v>
      </c>
      <c r="F278" s="4">
        <v>2891</v>
      </c>
      <c r="G278" s="4" t="s">
        <v>889</v>
      </c>
      <c r="H278" s="2" t="s">
        <v>14</v>
      </c>
      <c r="I278" s="7">
        <v>39093</v>
      </c>
      <c r="J278" s="1" t="s">
        <v>44</v>
      </c>
      <c r="K278" s="4" t="s">
        <v>885</v>
      </c>
      <c r="L278" s="4" t="s">
        <v>890</v>
      </c>
      <c r="M278" s="4" t="s">
        <v>891</v>
      </c>
      <c r="N278" s="8" t="str">
        <f t="shared" ca="1" si="4"/>
        <v>17 Tahun, 11 Bulan, 10 Hari</v>
      </c>
    </row>
    <row r="279" spans="1:14" x14ac:dyDescent="0.25">
      <c r="A279" s="1">
        <v>278</v>
      </c>
      <c r="B279" s="1">
        <v>660</v>
      </c>
      <c r="C279" s="4" t="s">
        <v>117</v>
      </c>
      <c r="D279" s="1" t="s">
        <v>128</v>
      </c>
      <c r="E279" s="1" t="s">
        <v>9</v>
      </c>
      <c r="F279" s="4">
        <v>2845</v>
      </c>
      <c r="G279" s="4" t="s">
        <v>1298</v>
      </c>
      <c r="H279" s="2" t="s">
        <v>14</v>
      </c>
      <c r="I279" s="7">
        <v>39247</v>
      </c>
      <c r="J279" s="1" t="s">
        <v>44</v>
      </c>
      <c r="K279" s="4" t="s">
        <v>1299</v>
      </c>
      <c r="L279" s="4" t="s">
        <v>1300</v>
      </c>
      <c r="M279" s="4" t="s">
        <v>1301</v>
      </c>
      <c r="N279" s="8" t="str">
        <f t="shared" ca="1" si="4"/>
        <v>17 Tahun, 6 Bulan, 7 Hari</v>
      </c>
    </row>
    <row r="280" spans="1:14" x14ac:dyDescent="0.25">
      <c r="A280" s="1">
        <v>279</v>
      </c>
      <c r="B280" s="1">
        <v>1098</v>
      </c>
      <c r="C280" s="4"/>
      <c r="D280" s="1" t="s">
        <v>166</v>
      </c>
      <c r="E280" s="1" t="s">
        <v>17</v>
      </c>
      <c r="F280" s="4">
        <v>1558</v>
      </c>
      <c r="G280" s="4" t="s">
        <v>987</v>
      </c>
      <c r="H280" s="2" t="s">
        <v>14</v>
      </c>
      <c r="I280" s="7">
        <v>38018</v>
      </c>
      <c r="J280" s="1" t="s">
        <v>56</v>
      </c>
      <c r="K280" s="4" t="s">
        <v>988</v>
      </c>
      <c r="L280" s="4" t="s">
        <v>911</v>
      </c>
      <c r="M280" s="4" t="s">
        <v>912</v>
      </c>
      <c r="N280" s="8" t="str">
        <f t="shared" ca="1" si="4"/>
        <v>20 Tahun, 10 Bulan, 20 Hari</v>
      </c>
    </row>
    <row r="281" spans="1:14" x14ac:dyDescent="0.25">
      <c r="A281" s="1">
        <v>280</v>
      </c>
      <c r="B281" s="1">
        <v>1048</v>
      </c>
      <c r="C281" s="4"/>
      <c r="D281" s="1" t="s">
        <v>128</v>
      </c>
      <c r="E281" s="1" t="s">
        <v>17</v>
      </c>
      <c r="F281" s="4">
        <v>1529</v>
      </c>
      <c r="G281" s="4" t="s">
        <v>1276</v>
      </c>
      <c r="H281" s="2" t="s">
        <v>14</v>
      </c>
      <c r="I281" s="7" t="s">
        <v>1277</v>
      </c>
      <c r="J281" s="1" t="s">
        <v>26</v>
      </c>
      <c r="K281" s="4" t="s">
        <v>1278</v>
      </c>
      <c r="L281" s="4" t="s">
        <v>1279</v>
      </c>
      <c r="M281" s="4" t="s">
        <v>1280</v>
      </c>
      <c r="N281" s="8" t="str">
        <f t="shared" ca="1" si="4"/>
        <v>18 Tahun, 11 Bulan, 13 Hari</v>
      </c>
    </row>
    <row r="282" spans="1:14" x14ac:dyDescent="0.25">
      <c r="A282" s="1">
        <v>281</v>
      </c>
      <c r="B282" s="1">
        <v>894</v>
      </c>
      <c r="C282" s="4"/>
      <c r="D282" s="1">
        <v>1</v>
      </c>
      <c r="E282" s="1" t="s">
        <v>17</v>
      </c>
      <c r="F282" s="4">
        <v>2543</v>
      </c>
      <c r="G282" s="4" t="s">
        <v>1304</v>
      </c>
      <c r="H282" s="2" t="s">
        <v>14</v>
      </c>
      <c r="I282" s="7" t="s">
        <v>1305</v>
      </c>
      <c r="J282" s="1" t="s">
        <v>26</v>
      </c>
      <c r="K282" s="4" t="s">
        <v>209</v>
      </c>
      <c r="L282" s="4" t="s">
        <v>1306</v>
      </c>
      <c r="M282" s="4" t="s">
        <v>1307</v>
      </c>
      <c r="N282" s="8" t="str">
        <f t="shared" ca="1" si="4"/>
        <v>18 Tahun, 11 Bulan, 21 Hari</v>
      </c>
    </row>
    <row r="283" spans="1:14" x14ac:dyDescent="0.25">
      <c r="A283" s="1">
        <v>282</v>
      </c>
      <c r="B283" s="1">
        <v>926</v>
      </c>
      <c r="C283" s="4"/>
      <c r="D283" s="1">
        <v>1</v>
      </c>
      <c r="E283" s="1" t="s">
        <v>17</v>
      </c>
      <c r="F283" s="4">
        <v>2897</v>
      </c>
      <c r="G283" s="4" t="s">
        <v>319</v>
      </c>
      <c r="H283" s="2" t="s">
        <v>14</v>
      </c>
      <c r="I283" s="7">
        <v>38484</v>
      </c>
      <c r="J283" s="1" t="s">
        <v>26</v>
      </c>
      <c r="K283" s="4" t="s">
        <v>320</v>
      </c>
      <c r="L283" s="4" t="s">
        <v>321</v>
      </c>
      <c r="M283" s="4">
        <v>0</v>
      </c>
      <c r="N283" s="8" t="str">
        <f t="shared" ca="1" si="4"/>
        <v>19 Tahun, 7 Bulan, 9 Hari</v>
      </c>
    </row>
    <row r="284" spans="1:14" x14ac:dyDescent="0.25">
      <c r="A284" s="1">
        <v>283</v>
      </c>
      <c r="B284" s="1">
        <v>884</v>
      </c>
      <c r="C284" s="4"/>
      <c r="D284" s="1">
        <v>1</v>
      </c>
      <c r="E284" s="1" t="s">
        <v>17</v>
      </c>
      <c r="F284" s="4">
        <v>2898</v>
      </c>
      <c r="G284" s="4" t="s">
        <v>1245</v>
      </c>
      <c r="H284" s="2" t="s">
        <v>14</v>
      </c>
      <c r="I284" s="7">
        <v>37818</v>
      </c>
      <c r="J284" s="1" t="s">
        <v>26</v>
      </c>
      <c r="K284" s="4" t="s">
        <v>1246</v>
      </c>
      <c r="L284" s="4" t="s">
        <v>1247</v>
      </c>
      <c r="M284" s="4">
        <v>0</v>
      </c>
      <c r="N284" s="8" t="str">
        <f t="shared" ca="1" si="4"/>
        <v>21 Tahun, 5 Bulan, 5 Hari</v>
      </c>
    </row>
    <row r="285" spans="1:14" x14ac:dyDescent="0.25">
      <c r="A285" s="1">
        <v>284</v>
      </c>
      <c r="B285" s="1">
        <v>1077</v>
      </c>
      <c r="C285" s="4"/>
      <c r="D285" s="1" t="s">
        <v>128</v>
      </c>
      <c r="E285" s="1" t="s">
        <v>17</v>
      </c>
      <c r="F285" s="4">
        <v>1611</v>
      </c>
      <c r="G285" s="4" t="s">
        <v>1312</v>
      </c>
      <c r="H285" s="2" t="s">
        <v>75</v>
      </c>
      <c r="I285" s="7" t="s">
        <v>816</v>
      </c>
      <c r="J285" s="1" t="s">
        <v>26</v>
      </c>
      <c r="K285" s="4" t="s">
        <v>1313</v>
      </c>
      <c r="L285" s="4" t="s">
        <v>1314</v>
      </c>
      <c r="M285" s="4" t="s">
        <v>1189</v>
      </c>
      <c r="N285" s="8" t="str">
        <f t="shared" ca="1" si="4"/>
        <v>20 Tahun, 0 Bulan, 25 Hari</v>
      </c>
    </row>
    <row r="286" spans="1:14" x14ac:dyDescent="0.25">
      <c r="A286" s="1">
        <v>285</v>
      </c>
      <c r="B286" s="1">
        <v>1011</v>
      </c>
      <c r="C286" s="4"/>
      <c r="D286" s="1" t="s">
        <v>118</v>
      </c>
      <c r="E286" s="1" t="s">
        <v>17</v>
      </c>
      <c r="F286" s="4">
        <v>1525</v>
      </c>
      <c r="G286" s="4" t="s">
        <v>1315</v>
      </c>
      <c r="H286" s="2" t="s">
        <v>14</v>
      </c>
      <c r="I286" s="7">
        <v>38458</v>
      </c>
      <c r="J286" s="1" t="s">
        <v>79</v>
      </c>
      <c r="K286" s="4" t="s">
        <v>1316</v>
      </c>
      <c r="L286" s="4" t="s">
        <v>635</v>
      </c>
      <c r="M286" s="4" t="s">
        <v>599</v>
      </c>
      <c r="N286" s="8" t="str">
        <f t="shared" ca="1" si="4"/>
        <v>19 Tahun, 8 Bulan, 5 Hari</v>
      </c>
    </row>
    <row r="287" spans="1:14" x14ac:dyDescent="0.25">
      <c r="A287" s="1">
        <v>286</v>
      </c>
      <c r="B287" s="1">
        <v>541</v>
      </c>
      <c r="C287" s="4" t="s">
        <v>117</v>
      </c>
      <c r="D287" s="1" t="s">
        <v>206</v>
      </c>
      <c r="E287" s="1" t="s">
        <v>9</v>
      </c>
      <c r="F287" s="4">
        <v>3687</v>
      </c>
      <c r="G287" s="4" t="s">
        <v>1317</v>
      </c>
      <c r="H287" s="2" t="s">
        <v>149</v>
      </c>
      <c r="I287" s="7" t="s">
        <v>1318</v>
      </c>
      <c r="J287" s="1" t="s">
        <v>80</v>
      </c>
      <c r="K287" s="4" t="s">
        <v>1319</v>
      </c>
      <c r="L287" s="4" t="s">
        <v>461</v>
      </c>
      <c r="M287" s="4" t="s">
        <v>1320</v>
      </c>
      <c r="N287" s="8" t="str">
        <f t="shared" ca="1" si="4"/>
        <v>17 Tahun, 10 Bulan, 6 Hari</v>
      </c>
    </row>
    <row r="288" spans="1:14" x14ac:dyDescent="0.25">
      <c r="A288" s="1">
        <v>287</v>
      </c>
      <c r="B288" s="1">
        <v>37</v>
      </c>
      <c r="C288" s="4">
        <v>0</v>
      </c>
      <c r="D288" s="1" t="s">
        <v>13</v>
      </c>
      <c r="E288" s="1" t="s">
        <v>11</v>
      </c>
      <c r="F288" s="4">
        <v>1430323</v>
      </c>
      <c r="G288" s="4" t="s">
        <v>1321</v>
      </c>
      <c r="H288" s="2" t="s">
        <v>14</v>
      </c>
      <c r="I288" s="7">
        <v>38318</v>
      </c>
      <c r="J288" s="1" t="s">
        <v>81</v>
      </c>
      <c r="K288" s="4" t="s">
        <v>1322</v>
      </c>
      <c r="L288" s="4" t="s">
        <v>1323</v>
      </c>
      <c r="M288" s="4" t="s">
        <v>1324</v>
      </c>
      <c r="N288" s="8" t="str">
        <f t="shared" ca="1" si="4"/>
        <v>20 Tahun, 0 Bulan, 24 Hari</v>
      </c>
    </row>
    <row r="289" spans="1:14" x14ac:dyDescent="0.25">
      <c r="A289" s="1">
        <v>288</v>
      </c>
      <c r="B289" s="1">
        <v>800</v>
      </c>
      <c r="C289" s="4"/>
      <c r="D289" s="1" t="s">
        <v>123</v>
      </c>
      <c r="E289" s="1" t="s">
        <v>9</v>
      </c>
      <c r="F289" s="4">
        <v>3494</v>
      </c>
      <c r="G289" s="4" t="s">
        <v>1325</v>
      </c>
      <c r="H289" s="2">
        <v>0</v>
      </c>
      <c r="I289" s="7">
        <v>43862</v>
      </c>
      <c r="J289" s="1" t="s">
        <v>81</v>
      </c>
      <c r="K289" s="4" t="s">
        <v>1326</v>
      </c>
      <c r="L289" s="4" t="s">
        <v>1327</v>
      </c>
      <c r="M289" s="4" t="s">
        <v>1328</v>
      </c>
      <c r="N289" s="8" t="str">
        <f t="shared" ca="1" si="4"/>
        <v>4 Tahun, 10 Bulan, 20 Hari</v>
      </c>
    </row>
    <row r="290" spans="1:14" x14ac:dyDescent="0.25">
      <c r="A290" s="1">
        <v>289</v>
      </c>
      <c r="B290" s="1">
        <v>774</v>
      </c>
      <c r="C290" s="4" t="s">
        <v>90</v>
      </c>
      <c r="D290" s="1" t="s">
        <v>153</v>
      </c>
      <c r="E290" s="1" t="s">
        <v>9</v>
      </c>
      <c r="F290" s="4">
        <v>2801</v>
      </c>
      <c r="G290" s="4" t="s">
        <v>1329</v>
      </c>
      <c r="H290" s="2" t="s">
        <v>14</v>
      </c>
      <c r="I290" s="7">
        <v>39367</v>
      </c>
      <c r="J290" s="1" t="s">
        <v>82</v>
      </c>
      <c r="K290" s="4" t="s">
        <v>1330</v>
      </c>
      <c r="L290" s="4" t="s">
        <v>1331</v>
      </c>
      <c r="M290" s="4" t="s">
        <v>1332</v>
      </c>
      <c r="N290" s="8" t="str">
        <f t="shared" ca="1" si="4"/>
        <v>17 Tahun, 2 Bulan, 9 Hari</v>
      </c>
    </row>
    <row r="291" spans="1:14" x14ac:dyDescent="0.25">
      <c r="A291" s="1">
        <v>290</v>
      </c>
      <c r="B291" s="1">
        <v>810</v>
      </c>
      <c r="C291" s="4"/>
      <c r="D291" s="1" t="s">
        <v>123</v>
      </c>
      <c r="E291" s="1" t="s">
        <v>9</v>
      </c>
      <c r="F291" s="4">
        <v>2775</v>
      </c>
      <c r="G291" s="4" t="s">
        <v>1333</v>
      </c>
      <c r="H291" s="2" t="s">
        <v>14</v>
      </c>
      <c r="I291" s="7">
        <v>39342</v>
      </c>
      <c r="J291" s="1" t="s">
        <v>82</v>
      </c>
      <c r="K291" s="4" t="s">
        <v>460</v>
      </c>
      <c r="L291" s="4" t="s">
        <v>1334</v>
      </c>
      <c r="M291" s="4" t="s">
        <v>1335</v>
      </c>
      <c r="N291" s="8" t="str">
        <f t="shared" ca="1" si="4"/>
        <v>17 Tahun, 3 Bulan, 4 Hari</v>
      </c>
    </row>
    <row r="292" spans="1:14" x14ac:dyDescent="0.25">
      <c r="A292" s="1">
        <v>291</v>
      </c>
      <c r="B292" s="1">
        <v>555</v>
      </c>
      <c r="C292" s="4" t="s">
        <v>90</v>
      </c>
      <c r="D292" s="1" t="s">
        <v>206</v>
      </c>
      <c r="E292" s="1" t="s">
        <v>9</v>
      </c>
      <c r="F292" s="4">
        <v>3934</v>
      </c>
      <c r="G292" s="4" t="s">
        <v>1336</v>
      </c>
      <c r="H292" s="2">
        <v>0</v>
      </c>
      <c r="I292" s="7">
        <v>0</v>
      </c>
      <c r="J292" s="1" t="s">
        <v>83</v>
      </c>
      <c r="K292" s="4">
        <v>0</v>
      </c>
      <c r="L292" s="4">
        <v>0</v>
      </c>
      <c r="M292" s="4">
        <v>0</v>
      </c>
      <c r="N292" s="8" t="str">
        <f t="shared" ca="1" si="4"/>
        <v>124 Tahun, 11 Bulan, 21 Hari</v>
      </c>
    </row>
    <row r="293" spans="1:14" x14ac:dyDescent="0.25">
      <c r="A293" s="1">
        <v>292</v>
      </c>
      <c r="B293" s="1">
        <v>41</v>
      </c>
      <c r="C293" s="4">
        <v>0</v>
      </c>
      <c r="D293" s="1" t="s">
        <v>13</v>
      </c>
      <c r="E293" s="1" t="s">
        <v>11</v>
      </c>
      <c r="F293" s="4">
        <v>1440061</v>
      </c>
      <c r="G293" s="4" t="s">
        <v>1338</v>
      </c>
      <c r="H293" s="2" t="s">
        <v>14</v>
      </c>
      <c r="I293" s="7">
        <v>39377.416666666664</v>
      </c>
      <c r="J293" s="1" t="s">
        <v>84</v>
      </c>
      <c r="K293" s="4" t="s">
        <v>1339</v>
      </c>
      <c r="L293" s="4" t="s">
        <v>825</v>
      </c>
      <c r="M293" s="4" t="s">
        <v>1340</v>
      </c>
      <c r="N293" s="8" t="str">
        <f t="shared" ca="1" si="4"/>
        <v>17 Tahun, 1 Bulan, 29 Hari</v>
      </c>
    </row>
    <row r="294" spans="1:14" x14ac:dyDescent="0.25">
      <c r="A294" s="1">
        <v>293</v>
      </c>
      <c r="B294" s="1">
        <v>651</v>
      </c>
      <c r="C294" s="4" t="s">
        <v>144</v>
      </c>
      <c r="D294" s="1" t="s">
        <v>128</v>
      </c>
      <c r="E294" s="1" t="s">
        <v>9</v>
      </c>
      <c r="F294" s="4">
        <v>3261</v>
      </c>
      <c r="G294" s="4" t="s">
        <v>1341</v>
      </c>
      <c r="H294" s="2" t="s">
        <v>14</v>
      </c>
      <c r="I294" s="7" t="s">
        <v>1342</v>
      </c>
      <c r="J294" s="1" t="s">
        <v>84</v>
      </c>
      <c r="K294" s="4" t="s">
        <v>1343</v>
      </c>
      <c r="L294" s="4" t="s">
        <v>244</v>
      </c>
      <c r="M294" s="4" t="s">
        <v>1344</v>
      </c>
      <c r="N294" s="8" t="str">
        <f t="shared" ca="1" si="4"/>
        <v>17 Tahun, 2 Bulan, 10 Hari</v>
      </c>
    </row>
    <row r="295" spans="1:14" x14ac:dyDescent="0.25">
      <c r="A295" s="1">
        <v>294</v>
      </c>
      <c r="B295" s="1">
        <v>853</v>
      </c>
      <c r="C295" s="4" t="s">
        <v>90</v>
      </c>
      <c r="D295" s="1" t="s">
        <v>91</v>
      </c>
      <c r="E295" s="1" t="s">
        <v>9</v>
      </c>
      <c r="F295" s="4">
        <v>2774</v>
      </c>
      <c r="G295" s="4" t="s">
        <v>1345</v>
      </c>
      <c r="H295" s="2" t="s">
        <v>14</v>
      </c>
      <c r="I295" s="7">
        <v>39221</v>
      </c>
      <c r="J295" s="1" t="s">
        <v>85</v>
      </c>
      <c r="K295" s="4" t="s">
        <v>1346</v>
      </c>
      <c r="L295" s="4" t="s">
        <v>825</v>
      </c>
      <c r="M295" s="4" t="s">
        <v>1347</v>
      </c>
      <c r="N295" s="8" t="str">
        <f t="shared" ca="1" si="4"/>
        <v>17 Tahun, 7 Bulan, 2 Hari</v>
      </c>
    </row>
    <row r="296" spans="1:14" x14ac:dyDescent="0.25">
      <c r="A296" s="1">
        <v>295</v>
      </c>
      <c r="B296" s="1">
        <v>1056</v>
      </c>
      <c r="C296" s="4"/>
      <c r="D296" s="1" t="s">
        <v>128</v>
      </c>
      <c r="E296" s="1" t="s">
        <v>17</v>
      </c>
      <c r="F296" s="4">
        <v>0</v>
      </c>
      <c r="G296" s="4" t="s">
        <v>1360</v>
      </c>
      <c r="H296" s="2">
        <v>0</v>
      </c>
      <c r="I296" s="7">
        <v>0</v>
      </c>
      <c r="J296" s="1" t="s">
        <v>86</v>
      </c>
      <c r="K296" s="4" t="s">
        <v>276</v>
      </c>
      <c r="L296" s="4" t="s">
        <v>1361</v>
      </c>
      <c r="M296" s="4" t="s">
        <v>1362</v>
      </c>
      <c r="N296" s="8" t="str">
        <f t="shared" ca="1" si="4"/>
        <v>124 Tahun, 11 Bulan, 21 Hari</v>
      </c>
    </row>
    <row r="297" spans="1:14" x14ac:dyDescent="0.25">
      <c r="A297" s="1">
        <v>296</v>
      </c>
      <c r="B297" s="1">
        <v>1132</v>
      </c>
      <c r="C297" s="4"/>
      <c r="D297" s="1" t="s">
        <v>153</v>
      </c>
      <c r="E297" s="1" t="s">
        <v>17</v>
      </c>
      <c r="F297" s="4">
        <v>1383</v>
      </c>
      <c r="G297" s="4" t="s">
        <v>1464</v>
      </c>
      <c r="H297" s="2" t="s">
        <v>14</v>
      </c>
      <c r="I297" s="7" t="s">
        <v>1465</v>
      </c>
      <c r="J297" s="1" t="s">
        <v>86</v>
      </c>
      <c r="K297" s="4" t="s">
        <v>1466</v>
      </c>
      <c r="L297" s="4" t="s">
        <v>101</v>
      </c>
      <c r="M297" s="4" t="s">
        <v>636</v>
      </c>
      <c r="N297" s="8" t="str">
        <f t="shared" ca="1" si="4"/>
        <v>17 Tahun, 11 Bulan, 5 Hari</v>
      </c>
    </row>
    <row r="298" spans="1:14" x14ac:dyDescent="0.25">
      <c r="A298" s="1">
        <v>297</v>
      </c>
      <c r="B298" s="1">
        <v>1165</v>
      </c>
      <c r="C298" s="4"/>
      <c r="D298" s="1" t="s">
        <v>153</v>
      </c>
      <c r="E298" s="1" t="s">
        <v>17</v>
      </c>
      <c r="F298" s="4">
        <v>1416</v>
      </c>
      <c r="G298" s="4" t="s">
        <v>1500</v>
      </c>
      <c r="H298" s="2" t="s">
        <v>14</v>
      </c>
      <c r="I298" s="7" t="s">
        <v>1501</v>
      </c>
      <c r="J298" s="1" t="s">
        <v>86</v>
      </c>
      <c r="K298" s="4" t="s">
        <v>1398</v>
      </c>
      <c r="L298" s="4" t="s">
        <v>1502</v>
      </c>
      <c r="M298" s="4" t="s">
        <v>1252</v>
      </c>
      <c r="N298" s="8" t="str">
        <f t="shared" ca="1" si="4"/>
        <v>17 Tahun, 3 Bulan, 23 Hari</v>
      </c>
    </row>
    <row r="299" spans="1:14" x14ac:dyDescent="0.25">
      <c r="A299" s="1">
        <v>298</v>
      </c>
      <c r="B299" s="1">
        <v>1146</v>
      </c>
      <c r="C299" s="4"/>
      <c r="D299" s="1" t="s">
        <v>153</v>
      </c>
      <c r="E299" s="1" t="s">
        <v>17</v>
      </c>
      <c r="F299" s="4">
        <v>1397</v>
      </c>
      <c r="G299" s="4" t="s">
        <v>1387</v>
      </c>
      <c r="H299" s="2" t="s">
        <v>14</v>
      </c>
      <c r="I299" s="7" t="s">
        <v>1388</v>
      </c>
      <c r="J299" s="1" t="s">
        <v>86</v>
      </c>
      <c r="K299" s="4" t="s">
        <v>1389</v>
      </c>
      <c r="L299" s="4" t="s">
        <v>241</v>
      </c>
      <c r="M299" s="4" t="s">
        <v>1390</v>
      </c>
      <c r="N299" s="8" t="str">
        <f t="shared" ca="1" si="4"/>
        <v>18 Tahun, 11 Bulan, 13 Hari</v>
      </c>
    </row>
    <row r="300" spans="1:14" x14ac:dyDescent="0.25">
      <c r="A300" s="1">
        <v>299</v>
      </c>
      <c r="B300" s="1">
        <v>1139</v>
      </c>
      <c r="C300" s="4"/>
      <c r="D300" s="1" t="s">
        <v>153</v>
      </c>
      <c r="E300" s="1" t="s">
        <v>17</v>
      </c>
      <c r="F300" s="4">
        <v>1390</v>
      </c>
      <c r="G300" s="4" t="s">
        <v>95</v>
      </c>
      <c r="H300" s="2" t="s">
        <v>14</v>
      </c>
      <c r="I300" s="7" t="s">
        <v>1517</v>
      </c>
      <c r="J300" s="1" t="s">
        <v>86</v>
      </c>
      <c r="K300" s="4" t="s">
        <v>1518</v>
      </c>
      <c r="L300" s="4" t="s">
        <v>1519</v>
      </c>
      <c r="M300" s="4" t="s">
        <v>1520</v>
      </c>
      <c r="N300" s="8" t="str">
        <f t="shared" ca="1" si="4"/>
        <v>19 Tahun, 0 Bulan, 19 Hari</v>
      </c>
    </row>
    <row r="301" spans="1:14" x14ac:dyDescent="0.25">
      <c r="A301" s="1">
        <v>300</v>
      </c>
      <c r="B301" s="1">
        <v>1148</v>
      </c>
      <c r="C301" s="4"/>
      <c r="D301" s="1" t="s">
        <v>153</v>
      </c>
      <c r="E301" s="1" t="s">
        <v>17</v>
      </c>
      <c r="F301" s="4">
        <v>1399</v>
      </c>
      <c r="G301" s="4" t="s">
        <v>1396</v>
      </c>
      <c r="H301" s="2" t="s">
        <v>14</v>
      </c>
      <c r="I301" s="7" t="s">
        <v>1397</v>
      </c>
      <c r="J301" s="1" t="s">
        <v>86</v>
      </c>
      <c r="K301" s="4" t="s">
        <v>1398</v>
      </c>
      <c r="L301" s="4" t="s">
        <v>1399</v>
      </c>
      <c r="M301" s="4" t="s">
        <v>1400</v>
      </c>
      <c r="N301" s="8" t="str">
        <f t="shared" ca="1" si="4"/>
        <v>18 Tahun, 3 Bulan, 11 Hari</v>
      </c>
    </row>
    <row r="302" spans="1:14" x14ac:dyDescent="0.25">
      <c r="A302" s="1">
        <v>301</v>
      </c>
      <c r="B302" s="1">
        <v>1136</v>
      </c>
      <c r="C302" s="4"/>
      <c r="D302" s="1" t="s">
        <v>153</v>
      </c>
      <c r="E302" s="1" t="s">
        <v>17</v>
      </c>
      <c r="F302" s="4">
        <v>1387</v>
      </c>
      <c r="G302" s="4" t="s">
        <v>1484</v>
      </c>
      <c r="H302" s="2" t="s">
        <v>14</v>
      </c>
      <c r="I302" s="7" t="s">
        <v>734</v>
      </c>
      <c r="J302" s="1" t="s">
        <v>86</v>
      </c>
      <c r="K302" s="4" t="s">
        <v>1485</v>
      </c>
      <c r="L302" s="4" t="s">
        <v>94</v>
      </c>
      <c r="M302" s="4" t="s">
        <v>824</v>
      </c>
      <c r="N302" s="8" t="str">
        <f t="shared" ca="1" si="4"/>
        <v>18 Tahun, 6 Bulan, 22 Hari</v>
      </c>
    </row>
    <row r="303" spans="1:14" x14ac:dyDescent="0.25">
      <c r="A303" s="1">
        <v>302</v>
      </c>
      <c r="B303" s="1">
        <v>1162</v>
      </c>
      <c r="C303" s="4"/>
      <c r="D303" s="1" t="s">
        <v>153</v>
      </c>
      <c r="E303" s="1" t="s">
        <v>17</v>
      </c>
      <c r="F303" s="4">
        <v>1413</v>
      </c>
      <c r="G303" s="4" t="s">
        <v>1486</v>
      </c>
      <c r="H303" s="2" t="s">
        <v>14</v>
      </c>
      <c r="I303" s="7" t="s">
        <v>1487</v>
      </c>
      <c r="J303" s="1" t="s">
        <v>86</v>
      </c>
      <c r="K303" s="4" t="s">
        <v>1488</v>
      </c>
      <c r="L303" s="4" t="s">
        <v>1159</v>
      </c>
      <c r="M303" s="4" t="s">
        <v>1489</v>
      </c>
      <c r="N303" s="8" t="str">
        <f t="shared" ca="1" si="4"/>
        <v>18 Tahun, 9 Bulan, 29 Hari</v>
      </c>
    </row>
    <row r="304" spans="1:14" x14ac:dyDescent="0.25">
      <c r="A304" s="1">
        <v>303</v>
      </c>
      <c r="B304" s="1">
        <v>1138</v>
      </c>
      <c r="C304" s="4"/>
      <c r="D304" s="1" t="s">
        <v>153</v>
      </c>
      <c r="E304" s="1" t="s">
        <v>17</v>
      </c>
      <c r="F304" s="4">
        <v>1389</v>
      </c>
      <c r="G304" s="4" t="s">
        <v>1495</v>
      </c>
      <c r="H304" s="2" t="s">
        <v>14</v>
      </c>
      <c r="I304" s="7" t="s">
        <v>1496</v>
      </c>
      <c r="J304" s="1" t="s">
        <v>86</v>
      </c>
      <c r="K304" s="4" t="s">
        <v>1497</v>
      </c>
      <c r="L304" s="4" t="s">
        <v>1498</v>
      </c>
      <c r="M304" s="4" t="s">
        <v>1499</v>
      </c>
      <c r="N304" s="8" t="str">
        <f t="shared" ca="1" si="4"/>
        <v>19 Tahun, 2 Bulan, 26 Hari</v>
      </c>
    </row>
    <row r="305" spans="1:14" x14ac:dyDescent="0.25">
      <c r="A305" s="1">
        <v>304</v>
      </c>
      <c r="B305" s="1">
        <v>1010</v>
      </c>
      <c r="C305" s="4"/>
      <c r="D305" s="1" t="s">
        <v>118</v>
      </c>
      <c r="E305" s="1" t="s">
        <v>17</v>
      </c>
      <c r="F305" s="4">
        <v>1523</v>
      </c>
      <c r="G305" s="4" t="s">
        <v>1349</v>
      </c>
      <c r="H305" s="2" t="s">
        <v>14</v>
      </c>
      <c r="I305" s="7" t="s">
        <v>1350</v>
      </c>
      <c r="J305" s="1" t="s">
        <v>86</v>
      </c>
      <c r="K305" s="4" t="s">
        <v>1351</v>
      </c>
      <c r="L305" s="4" t="s">
        <v>400</v>
      </c>
      <c r="M305" s="4" t="s">
        <v>1352</v>
      </c>
      <c r="N305" s="8" t="str">
        <f t="shared" ca="1" si="4"/>
        <v>19 Tahun, 2 Bulan, 2 Hari</v>
      </c>
    </row>
    <row r="306" spans="1:14" x14ac:dyDescent="0.25">
      <c r="A306" s="1">
        <v>305</v>
      </c>
      <c r="B306" s="1">
        <v>1149</v>
      </c>
      <c r="C306" s="4"/>
      <c r="D306" s="1" t="s">
        <v>153</v>
      </c>
      <c r="E306" s="1" t="s">
        <v>17</v>
      </c>
      <c r="F306" s="4">
        <v>1400</v>
      </c>
      <c r="G306" s="4" t="s">
        <v>1404</v>
      </c>
      <c r="H306" s="2" t="s">
        <v>14</v>
      </c>
      <c r="I306" s="7" t="s">
        <v>1405</v>
      </c>
      <c r="J306" s="1" t="s">
        <v>86</v>
      </c>
      <c r="K306" s="4" t="s">
        <v>1406</v>
      </c>
      <c r="L306" s="4" t="s">
        <v>1407</v>
      </c>
      <c r="M306" s="4" t="s">
        <v>1408</v>
      </c>
      <c r="N306" s="8" t="str">
        <f t="shared" ca="1" si="4"/>
        <v>19 Tahun, 11 Bulan, 5 Hari</v>
      </c>
    </row>
    <row r="307" spans="1:14" x14ac:dyDescent="0.25">
      <c r="A307" s="1">
        <v>306</v>
      </c>
      <c r="B307" s="1">
        <v>1144</v>
      </c>
      <c r="C307" s="4"/>
      <c r="D307" s="1" t="s">
        <v>153</v>
      </c>
      <c r="E307" s="1" t="s">
        <v>17</v>
      </c>
      <c r="F307" s="4">
        <v>1395</v>
      </c>
      <c r="G307" s="4" t="s">
        <v>1536</v>
      </c>
      <c r="H307" s="2" t="s">
        <v>14</v>
      </c>
      <c r="I307" s="7" t="s">
        <v>1537</v>
      </c>
      <c r="J307" s="1" t="s">
        <v>86</v>
      </c>
      <c r="K307" s="4" t="s">
        <v>1538</v>
      </c>
      <c r="L307" s="4" t="s">
        <v>1539</v>
      </c>
      <c r="M307" s="4">
        <v>0</v>
      </c>
      <c r="N307" s="8" t="str">
        <f t="shared" ca="1" si="4"/>
        <v>19 Tahun, 4 Bulan, 16 Hari</v>
      </c>
    </row>
    <row r="308" spans="1:14" x14ac:dyDescent="0.25">
      <c r="A308" s="1">
        <v>307</v>
      </c>
      <c r="B308" s="1">
        <v>1115</v>
      </c>
      <c r="C308" s="4"/>
      <c r="D308" s="1" t="s">
        <v>166</v>
      </c>
      <c r="E308" s="1" t="s">
        <v>17</v>
      </c>
      <c r="F308" s="4">
        <v>1619</v>
      </c>
      <c r="G308" s="4" t="s">
        <v>1368</v>
      </c>
      <c r="H308" s="2" t="s">
        <v>14</v>
      </c>
      <c r="I308" s="7" t="s">
        <v>1369</v>
      </c>
      <c r="J308" s="1" t="s">
        <v>86</v>
      </c>
      <c r="K308" s="4" t="s">
        <v>1370</v>
      </c>
      <c r="L308" s="4" t="s">
        <v>1371</v>
      </c>
      <c r="M308" s="4" t="s">
        <v>1372</v>
      </c>
      <c r="N308" s="8" t="str">
        <f t="shared" ca="1" si="4"/>
        <v>19 Tahun, 4 Bulan, 29 Hari</v>
      </c>
    </row>
    <row r="309" spans="1:14" x14ac:dyDescent="0.25">
      <c r="A309" s="1">
        <v>308</v>
      </c>
      <c r="B309" s="1">
        <v>1164</v>
      </c>
      <c r="C309" s="4"/>
      <c r="D309" s="1" t="s">
        <v>153</v>
      </c>
      <c r="E309" s="1" t="s">
        <v>17</v>
      </c>
      <c r="F309" s="4">
        <v>1415</v>
      </c>
      <c r="G309" s="4" t="s">
        <v>1490</v>
      </c>
      <c r="H309" s="2" t="s">
        <v>14</v>
      </c>
      <c r="I309" s="7" t="s">
        <v>1491</v>
      </c>
      <c r="J309" s="1" t="s">
        <v>86</v>
      </c>
      <c r="K309" s="4" t="s">
        <v>1492</v>
      </c>
      <c r="L309" s="4" t="s">
        <v>1493</v>
      </c>
      <c r="M309" s="4" t="s">
        <v>1494</v>
      </c>
      <c r="N309" s="8" t="str">
        <f t="shared" ca="1" si="4"/>
        <v>19 Tahun, 6 Bulan, 24 Hari</v>
      </c>
    </row>
    <row r="310" spans="1:14" x14ac:dyDescent="0.25">
      <c r="A310" s="1">
        <v>309</v>
      </c>
      <c r="B310" s="1">
        <v>1133</v>
      </c>
      <c r="C310" s="4"/>
      <c r="D310" s="1" t="s">
        <v>153</v>
      </c>
      <c r="E310" s="1" t="s">
        <v>17</v>
      </c>
      <c r="F310" s="4">
        <v>1384</v>
      </c>
      <c r="G310" s="4" t="s">
        <v>1471</v>
      </c>
      <c r="H310" s="2" t="s">
        <v>14</v>
      </c>
      <c r="I310" s="7" t="s">
        <v>1472</v>
      </c>
      <c r="J310" s="1" t="s">
        <v>86</v>
      </c>
      <c r="K310" s="4" t="s">
        <v>1473</v>
      </c>
      <c r="L310" s="4" t="s">
        <v>1474</v>
      </c>
      <c r="M310" s="4" t="s">
        <v>1475</v>
      </c>
      <c r="N310" s="8" t="str">
        <f t="shared" ca="1" si="4"/>
        <v>19 Tahun, 6 Bulan, 4 Hari</v>
      </c>
    </row>
    <row r="311" spans="1:14" x14ac:dyDescent="0.25">
      <c r="A311" s="1">
        <v>310</v>
      </c>
      <c r="B311" s="1">
        <v>1122</v>
      </c>
      <c r="C311" s="4"/>
      <c r="D311" s="1" t="s">
        <v>153</v>
      </c>
      <c r="E311" s="1" t="s">
        <v>17</v>
      </c>
      <c r="F311" s="4">
        <v>1373</v>
      </c>
      <c r="G311" s="4" t="s">
        <v>1401</v>
      </c>
      <c r="H311" s="2" t="s">
        <v>14</v>
      </c>
      <c r="I311" s="7" t="s">
        <v>1402</v>
      </c>
      <c r="J311" s="1" t="s">
        <v>86</v>
      </c>
      <c r="K311" s="4" t="s">
        <v>1403</v>
      </c>
      <c r="L311" s="4" t="s">
        <v>193</v>
      </c>
      <c r="M311" s="4" t="s">
        <v>194</v>
      </c>
      <c r="N311" s="8" t="str">
        <f t="shared" ca="1" si="4"/>
        <v>19 Tahun, 7 Bulan, 18 Hari</v>
      </c>
    </row>
    <row r="312" spans="1:14" x14ac:dyDescent="0.25">
      <c r="A312" s="1">
        <v>311</v>
      </c>
      <c r="B312" s="1">
        <v>1158</v>
      </c>
      <c r="C312" s="4"/>
      <c r="D312" s="1" t="s">
        <v>153</v>
      </c>
      <c r="E312" s="1" t="s">
        <v>17</v>
      </c>
      <c r="F312" s="4">
        <v>1409</v>
      </c>
      <c r="G312" s="4" t="s">
        <v>1449</v>
      </c>
      <c r="H312" s="2" t="s">
        <v>14</v>
      </c>
      <c r="I312" s="7" t="s">
        <v>1450</v>
      </c>
      <c r="J312" s="1" t="s">
        <v>86</v>
      </c>
      <c r="K312" s="4" t="s">
        <v>1451</v>
      </c>
      <c r="L312" s="4" t="s">
        <v>101</v>
      </c>
      <c r="M312" s="4" t="s">
        <v>1452</v>
      </c>
      <c r="N312" s="8" t="str">
        <f t="shared" ca="1" si="4"/>
        <v>19 Tahun, 8 Bulan, 16 Hari</v>
      </c>
    </row>
    <row r="313" spans="1:14" x14ac:dyDescent="0.25">
      <c r="A313" s="1">
        <v>312</v>
      </c>
      <c r="B313" s="1">
        <v>1147</v>
      </c>
      <c r="C313" s="4"/>
      <c r="D313" s="1" t="s">
        <v>153</v>
      </c>
      <c r="E313" s="1" t="s">
        <v>17</v>
      </c>
      <c r="F313" s="4">
        <v>1398</v>
      </c>
      <c r="G313" s="4" t="s">
        <v>1391</v>
      </c>
      <c r="H313" s="2" t="s">
        <v>14</v>
      </c>
      <c r="I313" s="7" t="s">
        <v>1392</v>
      </c>
      <c r="J313" s="1" t="s">
        <v>86</v>
      </c>
      <c r="K313" s="4" t="s">
        <v>1393</v>
      </c>
      <c r="L313" s="4" t="s">
        <v>1394</v>
      </c>
      <c r="M313" s="4" t="s">
        <v>1395</v>
      </c>
      <c r="N313" s="8" t="str">
        <f t="shared" ca="1" si="4"/>
        <v>19 Tahun, 9 Bulan, 8 Hari</v>
      </c>
    </row>
    <row r="314" spans="1:14" x14ac:dyDescent="0.25">
      <c r="A314" s="1">
        <v>313</v>
      </c>
      <c r="B314" s="1">
        <v>1151</v>
      </c>
      <c r="C314" s="4"/>
      <c r="D314" s="1" t="s">
        <v>153</v>
      </c>
      <c r="E314" s="1" t="s">
        <v>17</v>
      </c>
      <c r="F314" s="4">
        <v>1402</v>
      </c>
      <c r="G314" s="4" t="s">
        <v>1414</v>
      </c>
      <c r="H314" s="2" t="s">
        <v>14</v>
      </c>
      <c r="I314" s="7" t="s">
        <v>1415</v>
      </c>
      <c r="J314" s="1" t="s">
        <v>86</v>
      </c>
      <c r="K314" s="4" t="s">
        <v>1416</v>
      </c>
      <c r="L314" s="4" t="s">
        <v>387</v>
      </c>
      <c r="M314" s="4" t="s">
        <v>1417</v>
      </c>
      <c r="N314" s="8" t="str">
        <f t="shared" ca="1" si="4"/>
        <v>20 Tahun, 11 Bulan, 14 Hari</v>
      </c>
    </row>
    <row r="315" spans="1:14" x14ac:dyDescent="0.25">
      <c r="A315" s="1">
        <v>314</v>
      </c>
      <c r="B315" s="1">
        <v>1167</v>
      </c>
      <c r="C315" s="4"/>
      <c r="D315" s="1" t="s">
        <v>153</v>
      </c>
      <c r="E315" s="1" t="s">
        <v>17</v>
      </c>
      <c r="F315" s="4">
        <v>1418</v>
      </c>
      <c r="G315" s="4" t="s">
        <v>1507</v>
      </c>
      <c r="H315" s="2" t="s">
        <v>14</v>
      </c>
      <c r="I315" s="7" t="s">
        <v>1508</v>
      </c>
      <c r="J315" s="1" t="s">
        <v>86</v>
      </c>
      <c r="K315" s="4" t="s">
        <v>1509</v>
      </c>
      <c r="L315" s="4" t="s">
        <v>1510</v>
      </c>
      <c r="M315" s="4" t="s">
        <v>1511</v>
      </c>
      <c r="N315" s="8" t="str">
        <f t="shared" ca="1" si="4"/>
        <v>20 Tahun, 3 Bulan, 17 Hari</v>
      </c>
    </row>
    <row r="316" spans="1:14" x14ac:dyDescent="0.25">
      <c r="A316" s="1">
        <v>315</v>
      </c>
      <c r="B316" s="1">
        <v>1064</v>
      </c>
      <c r="C316" s="4"/>
      <c r="D316" s="1" t="s">
        <v>128</v>
      </c>
      <c r="E316" s="1" t="s">
        <v>17</v>
      </c>
      <c r="F316" s="4">
        <v>1576</v>
      </c>
      <c r="G316" s="4" t="s">
        <v>1363</v>
      </c>
      <c r="H316" s="2" t="s">
        <v>14</v>
      </c>
      <c r="I316" s="7" t="s">
        <v>1364</v>
      </c>
      <c r="J316" s="1" t="s">
        <v>86</v>
      </c>
      <c r="K316" s="4" t="s">
        <v>1365</v>
      </c>
      <c r="L316" s="4" t="s">
        <v>1366</v>
      </c>
      <c r="M316" s="4" t="s">
        <v>1367</v>
      </c>
      <c r="N316" s="8" t="str">
        <f t="shared" ca="1" si="4"/>
        <v>20 Tahun, 4 Bulan, 26 Hari</v>
      </c>
    </row>
    <row r="317" spans="1:14" x14ac:dyDescent="0.25">
      <c r="A317" s="1">
        <v>316</v>
      </c>
      <c r="B317" s="1">
        <v>1118</v>
      </c>
      <c r="C317" s="4"/>
      <c r="D317" s="1" t="s">
        <v>153</v>
      </c>
      <c r="E317" s="1" t="s">
        <v>17</v>
      </c>
      <c r="F317" s="4">
        <v>1369</v>
      </c>
      <c r="G317" s="4" t="s">
        <v>1384</v>
      </c>
      <c r="H317" s="2" t="s">
        <v>14</v>
      </c>
      <c r="I317" s="7" t="s">
        <v>1385</v>
      </c>
      <c r="J317" s="1" t="s">
        <v>86</v>
      </c>
      <c r="K317" s="4" t="s">
        <v>1386</v>
      </c>
      <c r="L317" s="4"/>
      <c r="M317" s="4"/>
      <c r="N317" s="8" t="str">
        <f t="shared" ca="1" si="4"/>
        <v>20 Tahun, 5 Bulan, 14 Hari</v>
      </c>
    </row>
    <row r="318" spans="1:14" x14ac:dyDescent="0.25">
      <c r="A318" s="1">
        <v>317</v>
      </c>
      <c r="B318" s="1">
        <v>1159</v>
      </c>
      <c r="C318" s="4"/>
      <c r="D318" s="1" t="s">
        <v>153</v>
      </c>
      <c r="E318" s="1" t="s">
        <v>17</v>
      </c>
      <c r="F318" s="4">
        <v>1410</v>
      </c>
      <c r="G318" s="4" t="s">
        <v>1453</v>
      </c>
      <c r="H318" s="2" t="s">
        <v>14</v>
      </c>
      <c r="I318" s="7" t="s">
        <v>1454</v>
      </c>
      <c r="J318" s="1" t="s">
        <v>86</v>
      </c>
      <c r="K318" s="4" t="s">
        <v>1455</v>
      </c>
      <c r="L318" s="4" t="s">
        <v>544</v>
      </c>
      <c r="M318" s="4" t="s">
        <v>1302</v>
      </c>
      <c r="N318" s="8" t="str">
        <f t="shared" ca="1" si="4"/>
        <v>20 Tahun, 6 Bulan, 18 Hari</v>
      </c>
    </row>
    <row r="319" spans="1:14" x14ac:dyDescent="0.25">
      <c r="A319" s="1">
        <v>318</v>
      </c>
      <c r="B319" s="1">
        <v>1125</v>
      </c>
      <c r="C319" s="4"/>
      <c r="D319" s="1" t="s">
        <v>153</v>
      </c>
      <c r="E319" s="1" t="s">
        <v>17</v>
      </c>
      <c r="F319" s="4">
        <v>1376</v>
      </c>
      <c r="G319" s="4" t="s">
        <v>1426</v>
      </c>
      <c r="H319" s="2" t="s">
        <v>14</v>
      </c>
      <c r="I319" s="7" t="s">
        <v>1427</v>
      </c>
      <c r="J319" s="1" t="s">
        <v>86</v>
      </c>
      <c r="K319" s="4" t="s">
        <v>1428</v>
      </c>
      <c r="L319" s="4" t="s">
        <v>728</v>
      </c>
      <c r="M319" s="4" t="s">
        <v>673</v>
      </c>
      <c r="N319" s="8" t="str">
        <f t="shared" ca="1" si="4"/>
        <v>20 Tahun, 8 Bulan, 0 Hari</v>
      </c>
    </row>
    <row r="320" spans="1:14" x14ac:dyDescent="0.25">
      <c r="A320" s="1">
        <v>319</v>
      </c>
      <c r="B320" s="1">
        <v>1135</v>
      </c>
      <c r="C320" s="4"/>
      <c r="D320" s="1" t="s">
        <v>153</v>
      </c>
      <c r="E320" s="1" t="s">
        <v>17</v>
      </c>
      <c r="F320" s="4">
        <v>1386</v>
      </c>
      <c r="G320" s="4" t="s">
        <v>1479</v>
      </c>
      <c r="H320" s="2" t="s">
        <v>14</v>
      </c>
      <c r="I320" s="7" t="s">
        <v>1480</v>
      </c>
      <c r="J320" s="1" t="s">
        <v>86</v>
      </c>
      <c r="K320" s="4" t="s">
        <v>1481</v>
      </c>
      <c r="L320" s="4" t="s">
        <v>1482</v>
      </c>
      <c r="M320" s="4" t="s">
        <v>1483</v>
      </c>
      <c r="N320" s="8" t="str">
        <f t="shared" ca="1" si="4"/>
        <v>20 Tahun, 10 Bulan, 2 Hari</v>
      </c>
    </row>
    <row r="321" spans="1:14" x14ac:dyDescent="0.25">
      <c r="A321" s="1">
        <v>320</v>
      </c>
      <c r="B321" s="1">
        <v>1161</v>
      </c>
      <c r="C321" s="4"/>
      <c r="D321" s="1" t="s">
        <v>153</v>
      </c>
      <c r="E321" s="1" t="s">
        <v>17</v>
      </c>
      <c r="F321" s="4">
        <v>1412</v>
      </c>
      <c r="G321" s="4" t="s">
        <v>1467</v>
      </c>
      <c r="H321" s="2" t="s">
        <v>14</v>
      </c>
      <c r="I321" s="7" t="s">
        <v>1468</v>
      </c>
      <c r="J321" s="1" t="s">
        <v>86</v>
      </c>
      <c r="K321" s="4" t="s">
        <v>1469</v>
      </c>
      <c r="L321" s="4" t="s">
        <v>713</v>
      </c>
      <c r="M321" s="4" t="s">
        <v>1470</v>
      </c>
      <c r="N321" s="8" t="str">
        <f t="shared" ca="1" si="4"/>
        <v>21 Tahun, 1 Bulan, 20 Hari</v>
      </c>
    </row>
    <row r="322" spans="1:14" x14ac:dyDescent="0.25">
      <c r="A322" s="1">
        <v>321</v>
      </c>
      <c r="B322" s="1">
        <v>1054</v>
      </c>
      <c r="C322" s="4"/>
      <c r="D322" s="1" t="s">
        <v>128</v>
      </c>
      <c r="E322" s="1" t="s">
        <v>17</v>
      </c>
      <c r="F322" s="4">
        <v>1544</v>
      </c>
      <c r="G322" s="4" t="s">
        <v>1356</v>
      </c>
      <c r="H322" s="2" t="s">
        <v>14</v>
      </c>
      <c r="I322" s="7" t="s">
        <v>1357</v>
      </c>
      <c r="J322" s="1" t="s">
        <v>86</v>
      </c>
      <c r="K322" s="4" t="s">
        <v>1358</v>
      </c>
      <c r="L322" s="4" t="s">
        <v>390</v>
      </c>
      <c r="M322" s="4" t="s">
        <v>1359</v>
      </c>
      <c r="N322" s="8" t="str">
        <f t="shared" ref="N322:N375" ca="1" si="5">DATEDIF(I322,NOW(),"Y")&amp;" Tahun, "&amp;DATEDIF(I322,NOW(),"YM")&amp;" Bulan, "&amp;DATEDIF(I322,NOW(),"MD")&amp;" Hari"</f>
        <v>21 Tahun, 1 Bulan, 5 Hari</v>
      </c>
    </row>
    <row r="323" spans="1:14" x14ac:dyDescent="0.25">
      <c r="A323" s="1">
        <v>322</v>
      </c>
      <c r="B323" s="1">
        <v>1137</v>
      </c>
      <c r="C323" s="4"/>
      <c r="D323" s="1" t="s">
        <v>153</v>
      </c>
      <c r="E323" s="1" t="s">
        <v>17</v>
      </c>
      <c r="F323" s="4">
        <v>1388</v>
      </c>
      <c r="G323" s="4" t="s">
        <v>1436</v>
      </c>
      <c r="H323" s="2" t="s">
        <v>14</v>
      </c>
      <c r="I323" s="7" t="s">
        <v>1437</v>
      </c>
      <c r="J323" s="1" t="s">
        <v>86</v>
      </c>
      <c r="K323" s="4" t="s">
        <v>1438</v>
      </c>
      <c r="L323" s="4" t="s">
        <v>1439</v>
      </c>
      <c r="M323" s="4" t="s">
        <v>1440</v>
      </c>
      <c r="N323" s="8" t="str">
        <f t="shared" ca="1" si="5"/>
        <v>21 Tahun, 1 Bulan, 28 Hari</v>
      </c>
    </row>
    <row r="324" spans="1:14" x14ac:dyDescent="0.25">
      <c r="A324" s="1">
        <v>323</v>
      </c>
      <c r="B324" s="1">
        <v>1150</v>
      </c>
      <c r="C324" s="4"/>
      <c r="D324" s="1" t="s">
        <v>153</v>
      </c>
      <c r="E324" s="1" t="s">
        <v>17</v>
      </c>
      <c r="F324" s="4">
        <v>1401</v>
      </c>
      <c r="G324" s="4" t="s">
        <v>996</v>
      </c>
      <c r="H324" s="2" t="s">
        <v>14</v>
      </c>
      <c r="I324" s="7">
        <v>37620</v>
      </c>
      <c r="J324" s="1" t="s">
        <v>86</v>
      </c>
      <c r="K324" s="4" t="s">
        <v>1409</v>
      </c>
      <c r="L324" s="4" t="s">
        <v>945</v>
      </c>
      <c r="M324" s="4" t="s">
        <v>946</v>
      </c>
      <c r="N324" s="8" t="str">
        <f t="shared" ca="1" si="5"/>
        <v>21 Tahun, 11 Bulan, 21 Hari</v>
      </c>
    </row>
    <row r="325" spans="1:14" x14ac:dyDescent="0.25">
      <c r="A325" s="1">
        <v>324</v>
      </c>
      <c r="B325" s="1">
        <v>1143</v>
      </c>
      <c r="C325" s="4"/>
      <c r="D325" s="1" t="s">
        <v>153</v>
      </c>
      <c r="E325" s="1" t="s">
        <v>17</v>
      </c>
      <c r="F325" s="4">
        <v>1394</v>
      </c>
      <c r="G325" s="4" t="s">
        <v>1532</v>
      </c>
      <c r="H325" s="2" t="s">
        <v>14</v>
      </c>
      <c r="I325" s="7" t="s">
        <v>1419</v>
      </c>
      <c r="J325" s="1" t="s">
        <v>86</v>
      </c>
      <c r="K325" s="4" t="s">
        <v>1533</v>
      </c>
      <c r="L325" s="4" t="s">
        <v>1534</v>
      </c>
      <c r="M325" s="4" t="s">
        <v>1535</v>
      </c>
      <c r="N325" s="8" t="str">
        <f t="shared" ca="1" si="5"/>
        <v>21 Tahun, 7 Bulan, 14 Hari</v>
      </c>
    </row>
    <row r="326" spans="1:14" x14ac:dyDescent="0.25">
      <c r="A326" s="1">
        <v>325</v>
      </c>
      <c r="B326" s="1">
        <v>1153</v>
      </c>
      <c r="C326" s="4"/>
      <c r="D326" s="1" t="s">
        <v>153</v>
      </c>
      <c r="E326" s="1" t="s">
        <v>17</v>
      </c>
      <c r="F326" s="4">
        <v>1404</v>
      </c>
      <c r="G326" s="4" t="s">
        <v>1418</v>
      </c>
      <c r="H326" s="2" t="s">
        <v>14</v>
      </c>
      <c r="I326" s="7" t="s">
        <v>1419</v>
      </c>
      <c r="J326" s="1" t="s">
        <v>86</v>
      </c>
      <c r="K326" s="4" t="s">
        <v>1420</v>
      </c>
      <c r="L326" s="4" t="s">
        <v>1421</v>
      </c>
      <c r="M326" s="4" t="s">
        <v>462</v>
      </c>
      <c r="N326" s="8" t="str">
        <f t="shared" ca="1" si="5"/>
        <v>21 Tahun, 7 Bulan, 14 Hari</v>
      </c>
    </row>
    <row r="327" spans="1:14" x14ac:dyDescent="0.25">
      <c r="A327" s="1">
        <v>326</v>
      </c>
      <c r="B327" s="1">
        <v>1145</v>
      </c>
      <c r="C327" s="4"/>
      <c r="D327" s="1" t="s">
        <v>153</v>
      </c>
      <c r="E327" s="1" t="s">
        <v>17</v>
      </c>
      <c r="F327" s="4">
        <v>1396</v>
      </c>
      <c r="G327" s="4" t="s">
        <v>1348</v>
      </c>
      <c r="H327" s="2" t="s">
        <v>14</v>
      </c>
      <c r="I327" s="7" t="s">
        <v>1378</v>
      </c>
      <c r="J327" s="1" t="s">
        <v>86</v>
      </c>
      <c r="K327" s="4" t="s">
        <v>1379</v>
      </c>
      <c r="L327" s="4" t="s">
        <v>563</v>
      </c>
      <c r="M327" s="4">
        <v>0</v>
      </c>
      <c r="N327" s="8" t="str">
        <f t="shared" ca="1" si="5"/>
        <v>21 Tahun, 7 Bulan, 7 Hari</v>
      </c>
    </row>
    <row r="328" spans="1:14" x14ac:dyDescent="0.25">
      <c r="A328" s="1">
        <v>327</v>
      </c>
      <c r="B328" s="1">
        <v>1127</v>
      </c>
      <c r="C328" s="4"/>
      <c r="D328" s="1" t="s">
        <v>153</v>
      </c>
      <c r="E328" s="1" t="s">
        <v>17</v>
      </c>
      <c r="F328" s="4">
        <v>1378</v>
      </c>
      <c r="G328" s="4" t="s">
        <v>1433</v>
      </c>
      <c r="H328" s="2" t="s">
        <v>14</v>
      </c>
      <c r="I328" s="7" t="s">
        <v>1434</v>
      </c>
      <c r="J328" s="1" t="s">
        <v>86</v>
      </c>
      <c r="K328" s="4" t="s">
        <v>1435</v>
      </c>
      <c r="L328" s="4" t="s">
        <v>338</v>
      </c>
      <c r="M328" s="4" t="s">
        <v>899</v>
      </c>
      <c r="N328" s="8" t="str">
        <f t="shared" ca="1" si="5"/>
        <v>21 Tahun, 7 Bulan, 28 Hari</v>
      </c>
    </row>
    <row r="329" spans="1:14" x14ac:dyDescent="0.25">
      <c r="A329" s="1">
        <v>328</v>
      </c>
      <c r="B329" s="1">
        <v>1160</v>
      </c>
      <c r="C329" s="4"/>
      <c r="D329" s="1" t="s">
        <v>153</v>
      </c>
      <c r="E329" s="1" t="s">
        <v>17</v>
      </c>
      <c r="F329" s="4">
        <v>1411</v>
      </c>
      <c r="G329" s="4" t="s">
        <v>1460</v>
      </c>
      <c r="H329" s="2" t="s">
        <v>14</v>
      </c>
      <c r="I329" s="7" t="s">
        <v>1461</v>
      </c>
      <c r="J329" s="1" t="s">
        <v>86</v>
      </c>
      <c r="K329" s="4" t="s">
        <v>1462</v>
      </c>
      <c r="L329" s="4" t="s">
        <v>1463</v>
      </c>
      <c r="M329" s="4" t="s">
        <v>1452</v>
      </c>
      <c r="N329" s="8" t="str">
        <f t="shared" ca="1" si="5"/>
        <v>22 Tahun, 11 Bulan, 8 Hari</v>
      </c>
    </row>
    <row r="330" spans="1:14" x14ac:dyDescent="0.25">
      <c r="A330" s="1">
        <v>329</v>
      </c>
      <c r="B330" s="1">
        <v>1134</v>
      </c>
      <c r="C330" s="4"/>
      <c r="D330" s="1" t="s">
        <v>153</v>
      </c>
      <c r="E330" s="1" t="s">
        <v>17</v>
      </c>
      <c r="F330" s="4">
        <v>1385</v>
      </c>
      <c r="G330" s="4" t="s">
        <v>1476</v>
      </c>
      <c r="H330" s="2" t="s">
        <v>14</v>
      </c>
      <c r="I330" s="7" t="s">
        <v>1477</v>
      </c>
      <c r="J330" s="1" t="s">
        <v>86</v>
      </c>
      <c r="K330" s="4" t="s">
        <v>1478</v>
      </c>
      <c r="L330" s="4" t="s">
        <v>412</v>
      </c>
      <c r="M330" s="4" t="s">
        <v>1094</v>
      </c>
      <c r="N330" s="8" t="str">
        <f t="shared" ca="1" si="5"/>
        <v>22 Tahun, 4 Bulan, 16 Hari</v>
      </c>
    </row>
    <row r="331" spans="1:14" x14ac:dyDescent="0.25">
      <c r="A331" s="1">
        <v>330</v>
      </c>
      <c r="B331" s="1">
        <v>1154</v>
      </c>
      <c r="C331" s="4"/>
      <c r="D331" s="1" t="s">
        <v>153</v>
      </c>
      <c r="E331" s="1" t="s">
        <v>17</v>
      </c>
      <c r="F331" s="4">
        <v>1405</v>
      </c>
      <c r="G331" s="4" t="s">
        <v>1422</v>
      </c>
      <c r="H331" s="2" t="s">
        <v>14</v>
      </c>
      <c r="I331" s="7" t="s">
        <v>1423</v>
      </c>
      <c r="J331" s="1" t="s">
        <v>86</v>
      </c>
      <c r="K331" s="4" t="s">
        <v>1424</v>
      </c>
      <c r="L331" s="4" t="s">
        <v>1425</v>
      </c>
      <c r="M331" s="4" t="s">
        <v>761</v>
      </c>
      <c r="N331" s="8" t="str">
        <f t="shared" ca="1" si="5"/>
        <v>22 Tahun, 4 Bulan, 5 Hari</v>
      </c>
    </row>
    <row r="332" spans="1:14" x14ac:dyDescent="0.25">
      <c r="A332" s="1">
        <v>331</v>
      </c>
      <c r="B332" s="1">
        <v>1156</v>
      </c>
      <c r="C332" s="4"/>
      <c r="D332" s="1" t="s">
        <v>153</v>
      </c>
      <c r="E332" s="1" t="s">
        <v>17</v>
      </c>
      <c r="F332" s="4">
        <v>1407</v>
      </c>
      <c r="G332" s="4" t="s">
        <v>1445</v>
      </c>
      <c r="H332" s="2" t="s">
        <v>14</v>
      </c>
      <c r="I332" s="7" t="s">
        <v>1446</v>
      </c>
      <c r="J332" s="1" t="s">
        <v>86</v>
      </c>
      <c r="K332" s="4" t="s">
        <v>1447</v>
      </c>
      <c r="L332" s="4" t="s">
        <v>1337</v>
      </c>
      <c r="M332" s="4" t="s">
        <v>1448</v>
      </c>
      <c r="N332" s="8" t="str">
        <f t="shared" ca="1" si="5"/>
        <v>23 Tahun, 3 Bulan, 5 Hari</v>
      </c>
    </row>
    <row r="333" spans="1:14" x14ac:dyDescent="0.25">
      <c r="A333" s="1">
        <v>332</v>
      </c>
      <c r="B333" s="1">
        <v>1168</v>
      </c>
      <c r="C333" s="4"/>
      <c r="D333" s="1" t="s">
        <v>153</v>
      </c>
      <c r="E333" s="1" t="s">
        <v>17</v>
      </c>
      <c r="F333" s="4">
        <v>1419</v>
      </c>
      <c r="G333" s="4" t="s">
        <v>1512</v>
      </c>
      <c r="H333" s="2" t="s">
        <v>149</v>
      </c>
      <c r="I333" s="7" t="s">
        <v>1513</v>
      </c>
      <c r="J333" s="1" t="s">
        <v>86</v>
      </c>
      <c r="K333" s="4" t="s">
        <v>1514</v>
      </c>
      <c r="L333" s="4" t="s">
        <v>1515</v>
      </c>
      <c r="M333" s="4" t="s">
        <v>1516</v>
      </c>
      <c r="N333" s="8" t="str">
        <f t="shared" ca="1" si="5"/>
        <v>17 Tahun, 2 Bulan, 23 Hari</v>
      </c>
    </row>
    <row r="334" spans="1:14" x14ac:dyDescent="0.25">
      <c r="A334" s="1">
        <v>333</v>
      </c>
      <c r="B334" s="1">
        <v>1171</v>
      </c>
      <c r="C334" s="4"/>
      <c r="D334" s="1" t="s">
        <v>153</v>
      </c>
      <c r="E334" s="1" t="s">
        <v>17</v>
      </c>
      <c r="F334" s="4">
        <v>1422</v>
      </c>
      <c r="G334" s="4" t="s">
        <v>1540</v>
      </c>
      <c r="H334" s="2" t="s">
        <v>149</v>
      </c>
      <c r="I334" s="7">
        <v>39125</v>
      </c>
      <c r="J334" s="1" t="s">
        <v>86</v>
      </c>
      <c r="K334" s="4" t="s">
        <v>1541</v>
      </c>
      <c r="L334" s="4" t="s">
        <v>1542</v>
      </c>
      <c r="M334" s="4" t="s">
        <v>205</v>
      </c>
      <c r="N334" s="8" t="str">
        <f t="shared" ca="1" si="5"/>
        <v>17 Tahun, 10 Bulan, 9 Hari</v>
      </c>
    </row>
    <row r="335" spans="1:14" x14ac:dyDescent="0.25">
      <c r="A335" s="1">
        <v>334</v>
      </c>
      <c r="B335" s="1">
        <v>1126</v>
      </c>
      <c r="C335" s="4"/>
      <c r="D335" s="1" t="s">
        <v>153</v>
      </c>
      <c r="E335" s="1" t="s">
        <v>17</v>
      </c>
      <c r="F335" s="4">
        <v>1377</v>
      </c>
      <c r="G335" s="4" t="s">
        <v>1429</v>
      </c>
      <c r="H335" s="2" t="s">
        <v>149</v>
      </c>
      <c r="I335" s="7" t="s">
        <v>1430</v>
      </c>
      <c r="J335" s="1" t="s">
        <v>86</v>
      </c>
      <c r="K335" s="4" t="s">
        <v>1431</v>
      </c>
      <c r="L335" s="4" t="s">
        <v>1432</v>
      </c>
      <c r="M335" s="4" t="s">
        <v>1281</v>
      </c>
      <c r="N335" s="8" t="str">
        <f t="shared" ca="1" si="5"/>
        <v>17 Tahun, 10 Bulan, 19 Hari</v>
      </c>
    </row>
    <row r="336" spans="1:14" x14ac:dyDescent="0.25">
      <c r="A336" s="1">
        <v>335</v>
      </c>
      <c r="B336" s="1">
        <v>1117</v>
      </c>
      <c r="C336" s="4"/>
      <c r="D336" s="1" t="s">
        <v>153</v>
      </c>
      <c r="E336" s="1" t="s">
        <v>17</v>
      </c>
      <c r="F336" s="4">
        <v>1368</v>
      </c>
      <c r="G336" s="4" t="s">
        <v>1373</v>
      </c>
      <c r="H336" s="2" t="s">
        <v>149</v>
      </c>
      <c r="I336" s="7" t="s">
        <v>1374</v>
      </c>
      <c r="J336" s="1" t="s">
        <v>86</v>
      </c>
      <c r="K336" s="4" t="s">
        <v>1375</v>
      </c>
      <c r="L336" s="4" t="s">
        <v>1376</v>
      </c>
      <c r="M336" s="4" t="s">
        <v>1377</v>
      </c>
      <c r="N336" s="8" t="str">
        <f t="shared" ca="1" si="5"/>
        <v>18 Tahun, 5 Bulan, 27 Hari</v>
      </c>
    </row>
    <row r="337" spans="1:14" x14ac:dyDescent="0.25">
      <c r="A337" s="1">
        <v>336</v>
      </c>
      <c r="B337" s="1">
        <v>1152</v>
      </c>
      <c r="C337" s="4"/>
      <c r="D337" s="1" t="s">
        <v>153</v>
      </c>
      <c r="E337" s="1" t="s">
        <v>17</v>
      </c>
      <c r="F337" s="4">
        <v>1403</v>
      </c>
      <c r="G337" s="4" t="s">
        <v>1441</v>
      </c>
      <c r="H337" s="2" t="s">
        <v>149</v>
      </c>
      <c r="I337" s="7" t="s">
        <v>1442</v>
      </c>
      <c r="J337" s="1" t="s">
        <v>86</v>
      </c>
      <c r="K337" s="4" t="s">
        <v>1443</v>
      </c>
      <c r="L337" s="4" t="s">
        <v>1303</v>
      </c>
      <c r="M337" s="4" t="s">
        <v>1444</v>
      </c>
      <c r="N337" s="8" t="str">
        <f t="shared" ca="1" si="5"/>
        <v>18 Tahun, 6 Bulan, 19 Hari</v>
      </c>
    </row>
    <row r="338" spans="1:14" x14ac:dyDescent="0.25">
      <c r="A338" s="1">
        <v>337</v>
      </c>
      <c r="B338" s="1">
        <v>1123</v>
      </c>
      <c r="C338" s="4"/>
      <c r="D338" s="1" t="s">
        <v>153</v>
      </c>
      <c r="E338" s="1" t="s">
        <v>17</v>
      </c>
      <c r="F338" s="4">
        <v>1374</v>
      </c>
      <c r="G338" s="4" t="s">
        <v>1380</v>
      </c>
      <c r="H338" s="2" t="s">
        <v>149</v>
      </c>
      <c r="I338" s="7" t="s">
        <v>1381</v>
      </c>
      <c r="J338" s="1" t="s">
        <v>86</v>
      </c>
      <c r="K338" s="4" t="s">
        <v>1382</v>
      </c>
      <c r="L338" s="4" t="s">
        <v>1383</v>
      </c>
      <c r="M338" s="4" t="s">
        <v>138</v>
      </c>
      <c r="N338" s="8" t="str">
        <f t="shared" ca="1" si="5"/>
        <v>18 Tahun, 7 Bulan, 23 Hari</v>
      </c>
    </row>
    <row r="339" spans="1:14" x14ac:dyDescent="0.25">
      <c r="A339" s="1">
        <v>338</v>
      </c>
      <c r="B339" s="1">
        <v>1140</v>
      </c>
      <c r="C339" s="4"/>
      <c r="D339" s="1" t="s">
        <v>153</v>
      </c>
      <c r="E339" s="1" t="s">
        <v>17</v>
      </c>
      <c r="F339" s="4">
        <v>1391</v>
      </c>
      <c r="G339" s="4" t="s">
        <v>1521</v>
      </c>
      <c r="H339" s="2" t="s">
        <v>149</v>
      </c>
      <c r="I339" s="7" t="s">
        <v>1522</v>
      </c>
      <c r="J339" s="1" t="s">
        <v>86</v>
      </c>
      <c r="K339" s="4" t="s">
        <v>1523</v>
      </c>
      <c r="L339" s="4" t="s">
        <v>669</v>
      </c>
      <c r="M339" s="4" t="s">
        <v>670</v>
      </c>
      <c r="N339" s="8" t="str">
        <f t="shared" ca="1" si="5"/>
        <v>19 Tahun, 4 Bulan, 7 Hari</v>
      </c>
    </row>
    <row r="340" spans="1:14" x14ac:dyDescent="0.25">
      <c r="A340" s="1">
        <v>339</v>
      </c>
      <c r="B340" s="1">
        <v>1166</v>
      </c>
      <c r="C340" s="4"/>
      <c r="D340" s="1" t="s">
        <v>153</v>
      </c>
      <c r="E340" s="1" t="s">
        <v>17</v>
      </c>
      <c r="F340" s="4">
        <v>1417</v>
      </c>
      <c r="G340" s="4" t="s">
        <v>1503</v>
      </c>
      <c r="H340" s="2" t="s">
        <v>149</v>
      </c>
      <c r="I340" s="7" t="s">
        <v>1504</v>
      </c>
      <c r="J340" s="1" t="s">
        <v>86</v>
      </c>
      <c r="K340" s="4" t="s">
        <v>1505</v>
      </c>
      <c r="L340" s="4" t="s">
        <v>1506</v>
      </c>
      <c r="M340" s="4" t="s">
        <v>668</v>
      </c>
      <c r="N340" s="8" t="str">
        <f t="shared" ca="1" si="5"/>
        <v>20 Tahun, 11 Bulan, 23 Hari</v>
      </c>
    </row>
    <row r="341" spans="1:14" x14ac:dyDescent="0.25">
      <c r="A341" s="1">
        <v>340</v>
      </c>
      <c r="B341" s="1">
        <v>1142</v>
      </c>
      <c r="C341" s="4"/>
      <c r="D341" s="1" t="s">
        <v>153</v>
      </c>
      <c r="E341" s="1" t="s">
        <v>17</v>
      </c>
      <c r="F341" s="4">
        <v>1393</v>
      </c>
      <c r="G341" s="4" t="s">
        <v>1527</v>
      </c>
      <c r="H341" s="2" t="s">
        <v>149</v>
      </c>
      <c r="I341" s="7" t="s">
        <v>1528</v>
      </c>
      <c r="J341" s="1" t="s">
        <v>86</v>
      </c>
      <c r="K341" s="4" t="s">
        <v>1529</v>
      </c>
      <c r="L341" s="4" t="s">
        <v>1530</v>
      </c>
      <c r="M341" s="4" t="s">
        <v>1531</v>
      </c>
      <c r="N341" s="8" t="str">
        <f t="shared" ca="1" si="5"/>
        <v>22 Tahun, 5 Bulan, 8 Hari</v>
      </c>
    </row>
    <row r="342" spans="1:14" x14ac:dyDescent="0.25">
      <c r="A342" s="1">
        <v>341</v>
      </c>
      <c r="B342" s="1">
        <v>1169</v>
      </c>
      <c r="C342" s="4"/>
      <c r="D342" s="1" t="s">
        <v>153</v>
      </c>
      <c r="E342" s="1" t="s">
        <v>17</v>
      </c>
      <c r="F342" s="4">
        <v>1420</v>
      </c>
      <c r="G342" s="4" t="s">
        <v>1524</v>
      </c>
      <c r="H342" s="2" t="s">
        <v>149</v>
      </c>
      <c r="I342" s="7" t="s">
        <v>1525</v>
      </c>
      <c r="J342" s="1" t="s">
        <v>86</v>
      </c>
      <c r="K342" s="4" t="s">
        <v>1526</v>
      </c>
      <c r="L342" s="4" t="s">
        <v>826</v>
      </c>
      <c r="M342" s="4" t="s">
        <v>827</v>
      </c>
      <c r="N342" s="8" t="str">
        <f t="shared" ca="1" si="5"/>
        <v>23 Tahun, 11 Bulan, 23 Hari</v>
      </c>
    </row>
    <row r="343" spans="1:14" x14ac:dyDescent="0.25">
      <c r="A343" s="1">
        <v>342</v>
      </c>
      <c r="B343" s="1">
        <v>1124</v>
      </c>
      <c r="C343" s="4"/>
      <c r="D343" s="1" t="s">
        <v>153</v>
      </c>
      <c r="E343" s="1" t="s">
        <v>17</v>
      </c>
      <c r="F343" s="4">
        <v>1375</v>
      </c>
      <c r="G343" s="4" t="s">
        <v>1410</v>
      </c>
      <c r="H343" s="2" t="s">
        <v>75</v>
      </c>
      <c r="I343" s="7" t="s">
        <v>1411</v>
      </c>
      <c r="J343" s="1" t="s">
        <v>86</v>
      </c>
      <c r="K343" s="4" t="s">
        <v>1412</v>
      </c>
      <c r="L343" s="4" t="s">
        <v>1413</v>
      </c>
      <c r="M343" s="4">
        <v>0</v>
      </c>
      <c r="N343" s="8" t="str">
        <f t="shared" ca="1" si="5"/>
        <v>20 Tahun, 5 Bulan, 15 Hari</v>
      </c>
    </row>
    <row r="344" spans="1:14" x14ac:dyDescent="0.25">
      <c r="A344" s="1">
        <v>343</v>
      </c>
      <c r="B344" s="1">
        <v>1131</v>
      </c>
      <c r="C344" s="4"/>
      <c r="D344" s="1" t="s">
        <v>153</v>
      </c>
      <c r="E344" s="1" t="s">
        <v>17</v>
      </c>
      <c r="F344" s="4">
        <v>1382</v>
      </c>
      <c r="G344" s="4" t="s">
        <v>1456</v>
      </c>
      <c r="H344" s="2" t="s">
        <v>75</v>
      </c>
      <c r="I344" s="7" t="s">
        <v>1457</v>
      </c>
      <c r="J344" s="1" t="s">
        <v>86</v>
      </c>
      <c r="K344" s="4" t="s">
        <v>1458</v>
      </c>
      <c r="L344" s="4" t="s">
        <v>1459</v>
      </c>
      <c r="M344" s="4">
        <v>0</v>
      </c>
      <c r="N344" s="8" t="str">
        <f t="shared" ca="1" si="5"/>
        <v>21 Tahun, 8 Bulan, 27 Hari</v>
      </c>
    </row>
    <row r="345" spans="1:14" x14ac:dyDescent="0.25">
      <c r="A345" s="1">
        <v>344</v>
      </c>
      <c r="B345" s="1">
        <v>876</v>
      </c>
      <c r="C345" s="4" t="s">
        <v>197</v>
      </c>
      <c r="D345" s="1" t="s">
        <v>91</v>
      </c>
      <c r="E345" s="1" t="s">
        <v>9</v>
      </c>
      <c r="F345" s="4">
        <v>2840</v>
      </c>
      <c r="G345" s="4" t="s">
        <v>1543</v>
      </c>
      <c r="H345" s="2" t="s">
        <v>14</v>
      </c>
      <c r="I345" s="7">
        <v>39166</v>
      </c>
      <c r="J345" s="1" t="s">
        <v>86</v>
      </c>
      <c r="K345" s="4" t="s">
        <v>1544</v>
      </c>
      <c r="L345" s="4" t="s">
        <v>1545</v>
      </c>
      <c r="M345" s="4" t="s">
        <v>663</v>
      </c>
      <c r="N345" s="8" t="str">
        <f t="shared" ca="1" si="5"/>
        <v>17 Tahun, 8 Bulan, 26 Hari</v>
      </c>
    </row>
    <row r="346" spans="1:14" x14ac:dyDescent="0.25">
      <c r="A346" s="1">
        <v>345</v>
      </c>
      <c r="B346" s="1">
        <v>640</v>
      </c>
      <c r="C346" s="4" t="s">
        <v>117</v>
      </c>
      <c r="D346" s="1" t="s">
        <v>118</v>
      </c>
      <c r="E346" s="1" t="s">
        <v>9</v>
      </c>
      <c r="F346" s="4">
        <v>2754</v>
      </c>
      <c r="G346" s="4" t="s">
        <v>1353</v>
      </c>
      <c r="H346" s="2" t="s">
        <v>14</v>
      </c>
      <c r="I346" s="7">
        <v>39186</v>
      </c>
      <c r="J346" s="1" t="s">
        <v>86</v>
      </c>
      <c r="K346" s="4" t="s">
        <v>1354</v>
      </c>
      <c r="L346" s="4" t="s">
        <v>1355</v>
      </c>
      <c r="M346" s="4">
        <v>0</v>
      </c>
      <c r="N346" s="8" t="str">
        <f t="shared" ca="1" si="5"/>
        <v>17 Tahun, 8 Bulan, 7 Hari</v>
      </c>
    </row>
    <row r="347" spans="1:14" x14ac:dyDescent="0.25">
      <c r="A347" s="1">
        <v>346</v>
      </c>
      <c r="B347" s="1">
        <v>1051</v>
      </c>
      <c r="C347" s="4"/>
      <c r="D347" s="1" t="s">
        <v>128</v>
      </c>
      <c r="E347" s="1" t="s">
        <v>17</v>
      </c>
      <c r="F347" s="4">
        <v>1537</v>
      </c>
      <c r="G347" s="4" t="s">
        <v>1554</v>
      </c>
      <c r="H347" s="2" t="s">
        <v>14</v>
      </c>
      <c r="I347" s="7" t="s">
        <v>1555</v>
      </c>
      <c r="J347" s="1" t="s">
        <v>87</v>
      </c>
      <c r="K347" s="4" t="s">
        <v>1556</v>
      </c>
      <c r="L347" s="4" t="s">
        <v>1557</v>
      </c>
      <c r="M347" s="4" t="s">
        <v>1558</v>
      </c>
      <c r="N347" s="8" t="str">
        <f t="shared" ca="1" si="5"/>
        <v>19 Tahun, 11 Bulan, 16 Hari</v>
      </c>
    </row>
    <row r="348" spans="1:14" x14ac:dyDescent="0.25">
      <c r="A348" s="1">
        <v>347</v>
      </c>
      <c r="B348" s="1">
        <v>928</v>
      </c>
      <c r="C348" s="4"/>
      <c r="D348" s="1">
        <v>1</v>
      </c>
      <c r="E348" s="1" t="s">
        <v>17</v>
      </c>
      <c r="F348" s="4">
        <v>2116</v>
      </c>
      <c r="G348" s="4" t="s">
        <v>1564</v>
      </c>
      <c r="H348" s="2" t="s">
        <v>14</v>
      </c>
      <c r="I348" s="7" t="s">
        <v>1565</v>
      </c>
      <c r="J348" s="1" t="s">
        <v>87</v>
      </c>
      <c r="K348" s="4" t="s">
        <v>700</v>
      </c>
      <c r="L348" s="4" t="s">
        <v>1566</v>
      </c>
      <c r="M348" s="4" t="s">
        <v>1567</v>
      </c>
      <c r="N348" s="8" t="str">
        <f t="shared" ca="1" si="5"/>
        <v>21 Tahun, 9 Bulan, 18 Hari</v>
      </c>
    </row>
    <row r="349" spans="1:14" x14ac:dyDescent="0.25">
      <c r="A349" s="1">
        <v>348</v>
      </c>
      <c r="B349" s="1">
        <v>971</v>
      </c>
      <c r="C349" s="4"/>
      <c r="D349" s="1">
        <v>1</v>
      </c>
      <c r="E349" s="1" t="s">
        <v>17</v>
      </c>
      <c r="F349" s="4">
        <v>2341</v>
      </c>
      <c r="G349" s="4" t="s">
        <v>1560</v>
      </c>
      <c r="H349" s="2" t="s">
        <v>103</v>
      </c>
      <c r="I349" s="7">
        <v>38500</v>
      </c>
      <c r="J349" s="1" t="s">
        <v>87</v>
      </c>
      <c r="K349" s="4" t="s">
        <v>1561</v>
      </c>
      <c r="L349" s="4" t="s">
        <v>1562</v>
      </c>
      <c r="M349" s="4" t="s">
        <v>1563</v>
      </c>
      <c r="N349" s="8" t="str">
        <f t="shared" ca="1" si="5"/>
        <v>19 Tahun, 6 Bulan, 23 Hari</v>
      </c>
    </row>
    <row r="350" spans="1:14" x14ac:dyDescent="0.25">
      <c r="A350" s="1">
        <v>349</v>
      </c>
      <c r="B350" s="1">
        <v>844</v>
      </c>
      <c r="C350" s="4" t="s">
        <v>112</v>
      </c>
      <c r="D350" s="1" t="s">
        <v>113</v>
      </c>
      <c r="E350" s="1" t="s">
        <v>9</v>
      </c>
      <c r="F350" s="4">
        <v>2783</v>
      </c>
      <c r="G350" s="4" t="s">
        <v>1546</v>
      </c>
      <c r="H350" s="2" t="s">
        <v>14</v>
      </c>
      <c r="I350" s="7">
        <v>39089</v>
      </c>
      <c r="J350" s="1" t="s">
        <v>87</v>
      </c>
      <c r="K350" s="4" t="s">
        <v>1547</v>
      </c>
      <c r="L350" s="4" t="s">
        <v>1548</v>
      </c>
      <c r="M350" s="4" t="s">
        <v>1549</v>
      </c>
      <c r="N350" s="8" t="str">
        <f t="shared" ca="1" si="5"/>
        <v>17 Tahun, 11 Bulan, 14 Hari</v>
      </c>
    </row>
    <row r="351" spans="1:14" x14ac:dyDescent="0.25">
      <c r="A351" s="1">
        <v>350</v>
      </c>
      <c r="B351" s="1">
        <v>717</v>
      </c>
      <c r="C351" s="4"/>
      <c r="D351" s="1" t="s">
        <v>152</v>
      </c>
      <c r="E351" s="1" t="s">
        <v>9</v>
      </c>
      <c r="F351" s="4">
        <v>3604</v>
      </c>
      <c r="G351" s="4" t="s">
        <v>1550</v>
      </c>
      <c r="H351" s="2" t="s">
        <v>14</v>
      </c>
      <c r="I351" s="7" t="s">
        <v>1551</v>
      </c>
      <c r="J351" s="1" t="s">
        <v>87</v>
      </c>
      <c r="K351" s="4" t="s">
        <v>1552</v>
      </c>
      <c r="L351" s="4" t="s">
        <v>1553</v>
      </c>
      <c r="M351" s="4" t="s">
        <v>242</v>
      </c>
      <c r="N351" s="8" t="str">
        <f t="shared" ca="1" si="5"/>
        <v>17 Tahun, 3 Bulan, 0 Hari</v>
      </c>
    </row>
    <row r="352" spans="1:14" x14ac:dyDescent="0.25">
      <c r="A352" s="1">
        <v>351</v>
      </c>
      <c r="B352" s="1">
        <v>821</v>
      </c>
      <c r="C352" s="4" t="s">
        <v>112</v>
      </c>
      <c r="D352" s="1" t="s">
        <v>113</v>
      </c>
      <c r="E352" s="1" t="s">
        <v>9</v>
      </c>
      <c r="F352" s="4">
        <v>2867</v>
      </c>
      <c r="G352" s="4" t="s">
        <v>1559</v>
      </c>
      <c r="H352" s="2" t="s">
        <v>14</v>
      </c>
      <c r="I352" s="7">
        <v>38546</v>
      </c>
      <c r="J352" s="1" t="s">
        <v>87</v>
      </c>
      <c r="K352" s="4" t="s">
        <v>217</v>
      </c>
      <c r="L352" s="4" t="s">
        <v>433</v>
      </c>
      <c r="M352" s="4" t="s">
        <v>434</v>
      </c>
      <c r="N352" s="8" t="str">
        <f t="shared" ca="1" si="5"/>
        <v>19 Tahun, 5 Bulan, 8 Hari</v>
      </c>
    </row>
    <row r="353" spans="1:14" x14ac:dyDescent="0.25">
      <c r="A353" s="1">
        <v>352</v>
      </c>
      <c r="B353" s="1">
        <v>1024</v>
      </c>
      <c r="C353" s="4"/>
      <c r="D353" s="1" t="s">
        <v>118</v>
      </c>
      <c r="E353" s="1" t="s">
        <v>17</v>
      </c>
      <c r="F353" s="4">
        <v>1567</v>
      </c>
      <c r="G353" s="4" t="s">
        <v>1568</v>
      </c>
      <c r="H353" s="2" t="s">
        <v>14</v>
      </c>
      <c r="I353" s="7">
        <v>37684</v>
      </c>
      <c r="J353" s="1" t="s">
        <v>88</v>
      </c>
      <c r="K353" s="4" t="s">
        <v>1569</v>
      </c>
      <c r="L353" s="4" t="s">
        <v>671</v>
      </c>
      <c r="M353" s="4" t="s">
        <v>672</v>
      </c>
      <c r="N353" s="8" t="str">
        <f t="shared" ca="1" si="5"/>
        <v>21 Tahun, 9 Bulan, 17 Hari</v>
      </c>
    </row>
    <row r="354" spans="1:14" x14ac:dyDescent="0.25">
      <c r="A354" s="1">
        <v>353</v>
      </c>
      <c r="B354" s="1">
        <v>567</v>
      </c>
      <c r="C354" s="4">
        <v>0</v>
      </c>
      <c r="D354" s="1" t="s">
        <v>198</v>
      </c>
      <c r="E354" s="1" t="s">
        <v>9</v>
      </c>
      <c r="F354" s="4">
        <v>3726</v>
      </c>
      <c r="G354" s="4" t="s">
        <v>1570</v>
      </c>
      <c r="H354" s="2" t="s">
        <v>14</v>
      </c>
      <c r="I354" s="7" t="s">
        <v>1571</v>
      </c>
      <c r="J354" s="1" t="s">
        <v>89</v>
      </c>
      <c r="K354" s="4" t="s">
        <v>1572</v>
      </c>
      <c r="L354" s="4" t="s">
        <v>1439</v>
      </c>
      <c r="M354" s="4" t="s">
        <v>1440</v>
      </c>
      <c r="N354" s="8" t="str">
        <f t="shared" ca="1" si="5"/>
        <v>17 Tahun, 9 Bulan, 29 Hari</v>
      </c>
    </row>
    <row r="355" spans="1:14" x14ac:dyDescent="0.25">
      <c r="A355" s="1">
        <v>354</v>
      </c>
      <c r="B355" s="1"/>
      <c r="C355" s="4"/>
      <c r="D355" s="1">
        <v>3</v>
      </c>
      <c r="E355" s="1" t="s">
        <v>1575</v>
      </c>
      <c r="F355" s="4"/>
      <c r="G355" s="4" t="s">
        <v>1573</v>
      </c>
      <c r="H355" s="2"/>
      <c r="I355" s="2"/>
      <c r="J355" s="1"/>
      <c r="K355" s="4"/>
      <c r="L355" s="4"/>
      <c r="M355" s="4"/>
      <c r="N355" s="8" t="str">
        <f t="shared" ca="1" si="5"/>
        <v>124 Tahun, 11 Bulan, 21 Hari</v>
      </c>
    </row>
    <row r="356" spans="1:14" x14ac:dyDescent="0.25">
      <c r="A356" s="1">
        <v>355</v>
      </c>
      <c r="B356" s="1"/>
      <c r="C356" s="4"/>
      <c r="D356" s="1">
        <v>3</v>
      </c>
      <c r="E356" s="1" t="s">
        <v>1575</v>
      </c>
      <c r="F356" s="4"/>
      <c r="G356" s="4" t="s">
        <v>1267</v>
      </c>
      <c r="H356" s="2"/>
      <c r="I356" s="2"/>
      <c r="J356" s="1"/>
      <c r="K356" s="4"/>
      <c r="L356" s="4"/>
      <c r="M356" s="4"/>
      <c r="N356" s="8" t="str">
        <f t="shared" ca="1" si="5"/>
        <v>124 Tahun, 11 Bulan, 21 Hari</v>
      </c>
    </row>
    <row r="357" spans="1:14" x14ac:dyDescent="0.25">
      <c r="A357" s="1">
        <v>356</v>
      </c>
      <c r="B357" s="1"/>
      <c r="C357" s="4"/>
      <c r="D357" s="1">
        <v>3</v>
      </c>
      <c r="E357" s="1" t="s">
        <v>1575</v>
      </c>
      <c r="F357" s="4"/>
      <c r="G357" s="4" t="s">
        <v>1574</v>
      </c>
      <c r="H357" s="2"/>
      <c r="I357" s="2"/>
      <c r="J357" s="1"/>
      <c r="K357" s="4"/>
      <c r="L357" s="4"/>
      <c r="M357" s="4"/>
      <c r="N357" s="8" t="str">
        <f t="shared" ca="1" si="5"/>
        <v>124 Tahun, 11 Bulan, 21 Hari</v>
      </c>
    </row>
    <row r="358" spans="1:14" x14ac:dyDescent="0.25">
      <c r="A358" s="1">
        <v>357</v>
      </c>
      <c r="B358" s="14"/>
      <c r="D358" s="14" t="s">
        <v>243</v>
      </c>
      <c r="E358" s="56" t="s">
        <v>17</v>
      </c>
      <c r="F358" s="4"/>
      <c r="G358" s="57" t="s">
        <v>2725</v>
      </c>
      <c r="H358" s="58" t="s">
        <v>14</v>
      </c>
      <c r="I358" s="59">
        <v>38852</v>
      </c>
      <c r="J358" s="60" t="s">
        <v>25</v>
      </c>
      <c r="K358" s="57" t="s">
        <v>2726</v>
      </c>
      <c r="L358" s="4"/>
      <c r="M358" s="4"/>
      <c r="N358" s="61" t="str">
        <f t="shared" ca="1" si="5"/>
        <v>18 Tahun, 7 Bulan, 6 Hari</v>
      </c>
    </row>
    <row r="359" spans="1:14" x14ac:dyDescent="0.25">
      <c r="A359" s="1">
        <v>358</v>
      </c>
      <c r="B359" s="14"/>
      <c r="D359" s="14" t="s">
        <v>2727</v>
      </c>
      <c r="E359" s="56" t="s">
        <v>17</v>
      </c>
      <c r="F359" s="4"/>
      <c r="G359" s="57" t="s">
        <v>2728</v>
      </c>
      <c r="H359" s="58" t="s">
        <v>14</v>
      </c>
      <c r="I359" s="59">
        <v>38909</v>
      </c>
      <c r="J359" s="60" t="s">
        <v>25</v>
      </c>
      <c r="K359" s="57" t="s">
        <v>2729</v>
      </c>
      <c r="L359" s="4"/>
      <c r="M359" s="4"/>
      <c r="N359" s="61" t="str">
        <f t="shared" ca="1" si="5"/>
        <v>18 Tahun, 5 Bulan, 10 Hari</v>
      </c>
    </row>
    <row r="360" spans="1:14" x14ac:dyDescent="0.25">
      <c r="A360" s="1">
        <v>359</v>
      </c>
      <c r="B360" s="14"/>
      <c r="D360" s="14" t="s">
        <v>2727</v>
      </c>
      <c r="E360" s="56" t="s">
        <v>17</v>
      </c>
      <c r="F360" s="4"/>
      <c r="G360" s="57" t="s">
        <v>2730</v>
      </c>
      <c r="H360" s="58" t="s">
        <v>14</v>
      </c>
      <c r="I360" s="62">
        <v>38796</v>
      </c>
      <c r="J360" s="60" t="s">
        <v>25</v>
      </c>
      <c r="K360" s="57" t="s">
        <v>2731</v>
      </c>
      <c r="L360" s="4"/>
      <c r="M360" s="4"/>
      <c r="N360" s="61" t="str">
        <f t="shared" ca="1" si="5"/>
        <v>18 Tahun, 9 Bulan, 1 Hari</v>
      </c>
    </row>
    <row r="361" spans="1:14" x14ac:dyDescent="0.25">
      <c r="A361" s="1">
        <v>360</v>
      </c>
      <c r="B361" s="14"/>
      <c r="D361" s="14" t="s">
        <v>243</v>
      </c>
      <c r="E361" s="56" t="s">
        <v>17</v>
      </c>
      <c r="F361" s="4"/>
      <c r="G361" s="57" t="s">
        <v>2732</v>
      </c>
      <c r="H361" s="58" t="s">
        <v>14</v>
      </c>
      <c r="I361" s="62">
        <v>39435</v>
      </c>
      <c r="J361" s="60" t="s">
        <v>25</v>
      </c>
      <c r="K361" s="57" t="s">
        <v>1447</v>
      </c>
      <c r="L361" s="4"/>
      <c r="M361" s="4"/>
      <c r="N361" s="61" t="str">
        <f t="shared" ca="1" si="5"/>
        <v>17 Tahun, 0 Bulan, 2 Hari</v>
      </c>
    </row>
    <row r="362" spans="1:14" x14ac:dyDescent="0.25">
      <c r="A362" s="1">
        <v>361</v>
      </c>
      <c r="B362" s="14"/>
      <c r="D362" s="14" t="s">
        <v>206</v>
      </c>
      <c r="E362" s="56" t="s">
        <v>17</v>
      </c>
      <c r="F362" s="4"/>
      <c r="G362" s="57" t="s">
        <v>2733</v>
      </c>
      <c r="H362" s="58" t="s">
        <v>14</v>
      </c>
      <c r="I362" s="62">
        <v>39109</v>
      </c>
      <c r="J362" s="60" t="s">
        <v>44</v>
      </c>
      <c r="K362" s="57" t="s">
        <v>2734</v>
      </c>
      <c r="L362" s="4"/>
      <c r="M362" s="4"/>
      <c r="N362" s="61" t="str">
        <f t="shared" ca="1" si="5"/>
        <v>17 Tahun, 10 Bulan, 24 Hari</v>
      </c>
    </row>
    <row r="363" spans="1:14" x14ac:dyDescent="0.25">
      <c r="A363" s="1">
        <v>362</v>
      </c>
      <c r="B363" s="14"/>
      <c r="D363" s="14" t="s">
        <v>123</v>
      </c>
      <c r="E363" s="56" t="s">
        <v>9</v>
      </c>
      <c r="F363" s="4"/>
      <c r="G363" s="57" t="s">
        <v>2735</v>
      </c>
      <c r="H363" s="58" t="s">
        <v>14</v>
      </c>
      <c r="I363" s="62">
        <v>39318</v>
      </c>
      <c r="J363" s="60" t="s">
        <v>44</v>
      </c>
      <c r="K363" s="57" t="s">
        <v>2736</v>
      </c>
      <c r="L363" s="4"/>
      <c r="M363" s="4"/>
      <c r="N363" s="61" t="str">
        <f t="shared" ca="1" si="5"/>
        <v>17 Tahun, 3 Bulan, 27 Hari</v>
      </c>
    </row>
    <row r="364" spans="1:14" x14ac:dyDescent="0.25">
      <c r="A364" s="1">
        <v>363</v>
      </c>
      <c r="B364" s="14"/>
      <c r="D364" s="14" t="s">
        <v>91</v>
      </c>
      <c r="E364" s="56" t="s">
        <v>9</v>
      </c>
      <c r="F364" s="4"/>
      <c r="G364" s="57" t="s">
        <v>2737</v>
      </c>
      <c r="H364" s="58" t="s">
        <v>14</v>
      </c>
      <c r="I364" s="62">
        <v>39364</v>
      </c>
      <c r="J364" s="60" t="s">
        <v>26</v>
      </c>
      <c r="K364" s="57" t="s">
        <v>2738</v>
      </c>
      <c r="L364" s="4"/>
      <c r="M364" s="4"/>
      <c r="N364" s="61" t="str">
        <f t="shared" ca="1" si="5"/>
        <v>17 Tahun, 2 Bulan, 12 Hari</v>
      </c>
    </row>
    <row r="365" spans="1:14" x14ac:dyDescent="0.25">
      <c r="A365" s="1">
        <v>364</v>
      </c>
      <c r="B365" s="14"/>
      <c r="D365" s="14" t="s">
        <v>2739</v>
      </c>
      <c r="E365" s="56" t="s">
        <v>9</v>
      </c>
      <c r="F365" s="4"/>
      <c r="G365" s="57" t="s">
        <v>2740</v>
      </c>
      <c r="H365" s="2" t="s">
        <v>75</v>
      </c>
      <c r="I365" s="62">
        <v>39389</v>
      </c>
      <c r="J365" s="60" t="s">
        <v>23</v>
      </c>
      <c r="K365" s="57" t="s">
        <v>2741</v>
      </c>
      <c r="L365" s="4"/>
      <c r="M365" s="4"/>
      <c r="N365" s="61" t="str">
        <f t="shared" ca="1" si="5"/>
        <v>17 Tahun, 1 Bulan, 18 Hari</v>
      </c>
    </row>
    <row r="366" spans="1:14" x14ac:dyDescent="0.25">
      <c r="A366" s="1">
        <v>365</v>
      </c>
      <c r="B366" s="14"/>
      <c r="D366" s="14" t="s">
        <v>123</v>
      </c>
      <c r="E366" s="56" t="s">
        <v>9</v>
      </c>
      <c r="F366" s="4"/>
      <c r="G366" s="57" t="s">
        <v>2742</v>
      </c>
      <c r="H366" s="58" t="s">
        <v>14</v>
      </c>
      <c r="I366" s="62">
        <v>38894</v>
      </c>
      <c r="J366" s="60" t="s">
        <v>44</v>
      </c>
      <c r="K366" s="57" t="s">
        <v>2743</v>
      </c>
      <c r="L366" s="4"/>
      <c r="M366" s="4"/>
      <c r="N366" s="61" t="str">
        <f t="shared" ca="1" si="5"/>
        <v>18 Tahun, 5 Bulan, 25 Hari</v>
      </c>
    </row>
    <row r="367" spans="1:14" x14ac:dyDescent="0.25">
      <c r="A367" s="1">
        <v>366</v>
      </c>
      <c r="B367" s="14"/>
      <c r="D367" s="14" t="s">
        <v>243</v>
      </c>
      <c r="E367" s="56" t="s">
        <v>17</v>
      </c>
      <c r="F367" s="4"/>
      <c r="G367" s="57" t="s">
        <v>2744</v>
      </c>
      <c r="H367" s="58"/>
      <c r="I367" s="62">
        <v>39270</v>
      </c>
      <c r="J367" s="60" t="s">
        <v>2745</v>
      </c>
      <c r="K367" s="57" t="s">
        <v>2746</v>
      </c>
      <c r="L367" s="4"/>
      <c r="M367" s="4"/>
      <c r="N367" s="61" t="str">
        <f t="shared" ca="1" si="5"/>
        <v>17 Tahun, 5 Bulan, 14 Hari</v>
      </c>
    </row>
    <row r="368" spans="1:14" x14ac:dyDescent="0.25">
      <c r="A368" s="1">
        <v>367</v>
      </c>
      <c r="B368" s="14"/>
      <c r="D368" s="14"/>
      <c r="E368" s="56"/>
      <c r="F368" s="4"/>
      <c r="G368" s="57" t="s">
        <v>2747</v>
      </c>
      <c r="H368" s="58"/>
      <c r="I368" s="62">
        <v>39133</v>
      </c>
      <c r="J368" s="60" t="s">
        <v>61</v>
      </c>
      <c r="K368" s="57"/>
      <c r="L368" s="4"/>
      <c r="M368" s="4"/>
      <c r="N368" s="61" t="str">
        <f t="shared" ca="1" si="5"/>
        <v>17 Tahun, 10 Bulan, 1 Hari</v>
      </c>
    </row>
    <row r="369" spans="1:14" x14ac:dyDescent="0.25">
      <c r="A369" s="1">
        <v>368</v>
      </c>
      <c r="B369" s="14"/>
      <c r="D369" s="14"/>
      <c r="E369" s="56"/>
      <c r="F369" s="4"/>
      <c r="G369" s="63" t="s">
        <v>1260</v>
      </c>
      <c r="H369" s="58" t="s">
        <v>14</v>
      </c>
      <c r="I369" s="59">
        <v>37918</v>
      </c>
      <c r="J369" s="60" t="s">
        <v>77</v>
      </c>
      <c r="K369" s="57" t="s">
        <v>2748</v>
      </c>
      <c r="L369" s="4"/>
      <c r="M369" s="4"/>
      <c r="N369" s="61" t="str">
        <f t="shared" ca="1" si="5"/>
        <v>21 Tahun, 1 Bulan, 27 Hari</v>
      </c>
    </row>
    <row r="370" spans="1:14" x14ac:dyDescent="0.25">
      <c r="A370" s="1">
        <v>369</v>
      </c>
      <c r="B370" s="14"/>
      <c r="D370" s="14" t="s">
        <v>123</v>
      </c>
      <c r="E370" s="56" t="s">
        <v>9</v>
      </c>
      <c r="F370" s="4"/>
      <c r="G370" s="57" t="s">
        <v>2749</v>
      </c>
      <c r="H370" s="58" t="s">
        <v>14</v>
      </c>
      <c r="I370" s="62">
        <v>38883</v>
      </c>
      <c r="J370" s="60" t="s">
        <v>51</v>
      </c>
      <c r="K370" s="57" t="s">
        <v>2750</v>
      </c>
      <c r="L370" s="4"/>
      <c r="M370" s="4"/>
      <c r="N370" s="61" t="str">
        <f t="shared" ca="1" si="5"/>
        <v>18 Tahun, 6 Bulan, 6 Hari</v>
      </c>
    </row>
    <row r="371" spans="1:14" x14ac:dyDescent="0.25">
      <c r="A371" s="1">
        <v>370</v>
      </c>
      <c r="B371" s="14"/>
      <c r="D371" s="14"/>
      <c r="E371" s="56"/>
      <c r="F371" s="4"/>
      <c r="G371" s="57" t="s">
        <v>2751</v>
      </c>
      <c r="H371" s="58"/>
      <c r="I371" s="58"/>
      <c r="J371" s="60" t="s">
        <v>29</v>
      </c>
      <c r="K371" s="57"/>
      <c r="L371" s="4"/>
      <c r="M371" s="4"/>
      <c r="N371" s="61" t="str">
        <f t="shared" ca="1" si="5"/>
        <v>124 Tahun, 11 Bulan, 21 Hari</v>
      </c>
    </row>
    <row r="372" spans="1:14" x14ac:dyDescent="0.25">
      <c r="A372" s="1">
        <v>371</v>
      </c>
      <c r="B372" s="14"/>
      <c r="D372" s="14" t="s">
        <v>123</v>
      </c>
      <c r="E372" s="56" t="s">
        <v>9</v>
      </c>
      <c r="F372" s="4"/>
      <c r="G372" s="57" t="s">
        <v>2752</v>
      </c>
      <c r="H372" s="58"/>
      <c r="I372" s="62">
        <v>39151</v>
      </c>
      <c r="J372" s="60" t="s">
        <v>29</v>
      </c>
      <c r="K372" s="57" t="s">
        <v>2756</v>
      </c>
      <c r="L372" s="4"/>
      <c r="M372" s="4"/>
      <c r="N372" s="61" t="str">
        <f t="shared" ca="1" si="5"/>
        <v>17 Tahun, 9 Bulan, 11 Hari</v>
      </c>
    </row>
    <row r="373" spans="1:14" x14ac:dyDescent="0.25">
      <c r="A373" s="1">
        <v>372</v>
      </c>
      <c r="B373" s="14"/>
      <c r="D373" s="14"/>
      <c r="E373" s="56"/>
      <c r="F373" s="4"/>
      <c r="G373" s="57" t="s">
        <v>2753</v>
      </c>
      <c r="H373" s="58"/>
      <c r="I373" s="58"/>
      <c r="J373" s="60"/>
      <c r="K373" s="57"/>
      <c r="L373" s="4"/>
      <c r="M373" s="4"/>
      <c r="N373" s="61" t="str">
        <f t="shared" ca="1" si="5"/>
        <v>124 Tahun, 11 Bulan, 21 Hari</v>
      </c>
    </row>
    <row r="374" spans="1:14" x14ac:dyDescent="0.25">
      <c r="A374" s="1">
        <v>373</v>
      </c>
      <c r="B374" s="14"/>
      <c r="D374" s="14" t="s">
        <v>123</v>
      </c>
      <c r="E374" s="56" t="s">
        <v>9</v>
      </c>
      <c r="F374" s="4"/>
      <c r="G374" s="57" t="s">
        <v>285</v>
      </c>
      <c r="H374" s="58"/>
      <c r="I374" s="62">
        <v>39188</v>
      </c>
      <c r="J374" s="60" t="s">
        <v>24</v>
      </c>
      <c r="K374" s="57" t="s">
        <v>2754</v>
      </c>
      <c r="L374" s="4"/>
      <c r="M374" s="4"/>
      <c r="N374" s="61" t="str">
        <f t="shared" ca="1" si="5"/>
        <v>17 Tahun, 8 Bulan, 5 Hari</v>
      </c>
    </row>
    <row r="375" spans="1:14" x14ac:dyDescent="0.25">
      <c r="A375" s="1">
        <v>374</v>
      </c>
      <c r="B375" s="14"/>
      <c r="D375" s="14" t="s">
        <v>243</v>
      </c>
      <c r="E375" s="56" t="s">
        <v>17</v>
      </c>
      <c r="F375" s="4"/>
      <c r="G375" s="57" t="s">
        <v>2755</v>
      </c>
      <c r="H375" s="58"/>
      <c r="I375" s="62">
        <v>38205</v>
      </c>
      <c r="J375" s="60" t="s">
        <v>24</v>
      </c>
      <c r="K375" s="57" t="s">
        <v>2754</v>
      </c>
      <c r="L375" s="4"/>
      <c r="M375" s="4"/>
      <c r="N375" s="61" t="str">
        <f t="shared" ca="1" si="5"/>
        <v>20 Tahun, 4 Bulan, 15 Hari</v>
      </c>
    </row>
    <row r="376" spans="1:14" s="69" customFormat="1" ht="18" customHeight="1" x14ac:dyDescent="0.25">
      <c r="A376" s="65">
        <v>375</v>
      </c>
      <c r="B376" s="65">
        <v>531</v>
      </c>
      <c r="C376" s="64" t="s">
        <v>90</v>
      </c>
      <c r="D376" s="65" t="s">
        <v>206</v>
      </c>
      <c r="E376" s="65" t="s">
        <v>9</v>
      </c>
      <c r="F376" s="64">
        <v>3670</v>
      </c>
      <c r="G376" s="64" t="s">
        <v>1111</v>
      </c>
      <c r="H376" s="66" t="s">
        <v>2757</v>
      </c>
      <c r="I376" s="67">
        <v>39184</v>
      </c>
      <c r="J376" s="65" t="s">
        <v>66</v>
      </c>
      <c r="K376" s="64" t="s">
        <v>1112</v>
      </c>
      <c r="L376" s="64">
        <v>0</v>
      </c>
      <c r="M376" s="64">
        <v>0</v>
      </c>
      <c r="N376" s="68" t="s">
        <v>2758</v>
      </c>
    </row>
    <row r="377" spans="1:14" ht="18" customHeight="1" x14ac:dyDescent="0.25">
      <c r="A377" s="1">
        <v>376</v>
      </c>
      <c r="B377" s="1">
        <v>887</v>
      </c>
      <c r="C377" s="4"/>
      <c r="D377" s="1">
        <v>1</v>
      </c>
      <c r="E377" s="1" t="s">
        <v>17</v>
      </c>
      <c r="F377" s="4">
        <v>2455</v>
      </c>
      <c r="G377" s="4" t="s">
        <v>215</v>
      </c>
      <c r="H377" s="2" t="s">
        <v>75</v>
      </c>
      <c r="I377" s="7" t="s">
        <v>216</v>
      </c>
      <c r="J377" s="1" t="s">
        <v>21</v>
      </c>
      <c r="K377" s="4" t="s">
        <v>217</v>
      </c>
      <c r="L377" s="4" t="s">
        <v>218</v>
      </c>
      <c r="M377" s="4" t="s">
        <v>219</v>
      </c>
      <c r="N377" s="8" t="s">
        <v>2759</v>
      </c>
    </row>
    <row r="378" spans="1:14" ht="18" customHeight="1" x14ac:dyDescent="0.25">
      <c r="A378" s="1">
        <v>377</v>
      </c>
      <c r="B378" s="1">
        <v>921</v>
      </c>
      <c r="C378" s="4"/>
      <c r="D378" s="1">
        <v>1</v>
      </c>
      <c r="E378" s="1" t="s">
        <v>17</v>
      </c>
      <c r="F378" s="4">
        <v>2429</v>
      </c>
      <c r="G378" s="4" t="s">
        <v>94</v>
      </c>
      <c r="H378" s="2" t="s">
        <v>75</v>
      </c>
      <c r="I378" s="7" t="s">
        <v>247</v>
      </c>
      <c r="J378" s="1" t="s">
        <v>22</v>
      </c>
      <c r="K378" s="4" t="s">
        <v>248</v>
      </c>
      <c r="L378" s="4" t="s">
        <v>249</v>
      </c>
      <c r="M378" s="4" t="s">
        <v>250</v>
      </c>
      <c r="N378" s="8" t="s">
        <v>2760</v>
      </c>
    </row>
    <row r="379" spans="1:14" ht="18" customHeight="1" x14ac:dyDescent="0.25">
      <c r="A379" s="1">
        <v>378</v>
      </c>
      <c r="B379" s="1">
        <v>892</v>
      </c>
      <c r="C379" s="4"/>
      <c r="D379" s="1">
        <v>1</v>
      </c>
      <c r="E379" s="1" t="s">
        <v>17</v>
      </c>
      <c r="F379" s="4">
        <v>2512</v>
      </c>
      <c r="G379" s="4" t="s">
        <v>251</v>
      </c>
      <c r="H379" s="2" t="s">
        <v>75</v>
      </c>
      <c r="I379" s="7" t="s">
        <v>252</v>
      </c>
      <c r="J379" s="1" t="s">
        <v>22</v>
      </c>
      <c r="K379" s="4" t="s">
        <v>248</v>
      </c>
      <c r="L379" s="4" t="s">
        <v>253</v>
      </c>
      <c r="M379" s="4">
        <v>0</v>
      </c>
      <c r="N379" s="8" t="s">
        <v>2761</v>
      </c>
    </row>
    <row r="380" spans="1:14" ht="18" customHeight="1" x14ac:dyDescent="0.25">
      <c r="A380" s="1">
        <v>379</v>
      </c>
      <c r="B380" s="1">
        <v>933</v>
      </c>
      <c r="C380" s="4"/>
      <c r="D380" s="1">
        <v>1</v>
      </c>
      <c r="E380" s="1" t="s">
        <v>17</v>
      </c>
      <c r="F380" s="4">
        <v>2513</v>
      </c>
      <c r="G380" s="4" t="s">
        <v>258</v>
      </c>
      <c r="H380" s="2" t="s">
        <v>75</v>
      </c>
      <c r="I380" s="7" t="s">
        <v>259</v>
      </c>
      <c r="J380" s="1" t="s">
        <v>22</v>
      </c>
      <c r="K380" s="4" t="s">
        <v>260</v>
      </c>
      <c r="L380" s="4" t="s">
        <v>261</v>
      </c>
      <c r="M380" s="4">
        <v>0</v>
      </c>
      <c r="N380" s="8" t="s">
        <v>2762</v>
      </c>
    </row>
    <row r="381" spans="1:14" ht="18" customHeight="1" x14ac:dyDescent="0.25">
      <c r="A381" s="1">
        <v>380</v>
      </c>
      <c r="B381" s="1">
        <v>888</v>
      </c>
      <c r="C381" s="4"/>
      <c r="D381" s="1">
        <v>1</v>
      </c>
      <c r="E381" s="1" t="s">
        <v>17</v>
      </c>
      <c r="F381" s="4">
        <v>2510</v>
      </c>
      <c r="G381" s="4" t="s">
        <v>271</v>
      </c>
      <c r="H381" s="2" t="s">
        <v>75</v>
      </c>
      <c r="I381" s="7" t="s">
        <v>272</v>
      </c>
      <c r="J381" s="1" t="s">
        <v>22</v>
      </c>
      <c r="K381" s="4" t="s">
        <v>248</v>
      </c>
      <c r="L381" s="4" t="s">
        <v>273</v>
      </c>
      <c r="M381" s="4" t="s">
        <v>274</v>
      </c>
      <c r="N381" s="8" t="s">
        <v>2763</v>
      </c>
    </row>
    <row r="382" spans="1:14" ht="18" customHeight="1" x14ac:dyDescent="0.25">
      <c r="A382" s="1">
        <v>381</v>
      </c>
      <c r="B382" s="1">
        <v>537</v>
      </c>
      <c r="C382" s="4" t="s">
        <v>117</v>
      </c>
      <c r="D382" s="1" t="s">
        <v>206</v>
      </c>
      <c r="E382" s="1" t="s">
        <v>9</v>
      </c>
      <c r="F382" s="4">
        <v>3693</v>
      </c>
      <c r="G382" s="4" t="s">
        <v>254</v>
      </c>
      <c r="H382" s="2" t="s">
        <v>75</v>
      </c>
      <c r="I382" s="7" t="s">
        <v>255</v>
      </c>
      <c r="J382" s="1" t="s">
        <v>22</v>
      </c>
      <c r="K382" s="4" t="s">
        <v>256</v>
      </c>
      <c r="L382" s="4" t="s">
        <v>241</v>
      </c>
      <c r="M382" s="4" t="s">
        <v>257</v>
      </c>
      <c r="N382" s="8" t="s">
        <v>2764</v>
      </c>
    </row>
    <row r="383" spans="1:14" ht="18" customHeight="1" x14ac:dyDescent="0.25">
      <c r="A383" s="1">
        <v>382</v>
      </c>
      <c r="B383" s="1">
        <v>710</v>
      </c>
      <c r="C383" s="4" t="s">
        <v>266</v>
      </c>
      <c r="D383" s="1" t="s">
        <v>166</v>
      </c>
      <c r="E383" s="1" t="s">
        <v>9</v>
      </c>
      <c r="F383" s="4">
        <v>3339</v>
      </c>
      <c r="G383" s="4" t="s">
        <v>267</v>
      </c>
      <c r="H383" s="2" t="s">
        <v>75</v>
      </c>
      <c r="I383" s="7">
        <v>38732</v>
      </c>
      <c r="J383" s="1" t="s">
        <v>22</v>
      </c>
      <c r="K383" s="4" t="s">
        <v>268</v>
      </c>
      <c r="L383" s="4" t="s">
        <v>269</v>
      </c>
      <c r="M383" s="4" t="s">
        <v>270</v>
      </c>
      <c r="N383" s="8" t="s">
        <v>2765</v>
      </c>
    </row>
    <row r="384" spans="1:14" ht="18" customHeight="1" x14ac:dyDescent="0.25">
      <c r="A384" s="1">
        <v>383</v>
      </c>
      <c r="B384" s="1">
        <v>906</v>
      </c>
      <c r="C384" s="4"/>
      <c r="D384" s="1">
        <v>1</v>
      </c>
      <c r="E384" s="1" t="s">
        <v>17</v>
      </c>
      <c r="F384" s="4">
        <v>2912</v>
      </c>
      <c r="G384" s="4" t="s">
        <v>306</v>
      </c>
      <c r="H384" s="2" t="s">
        <v>75</v>
      </c>
      <c r="I384" s="7">
        <v>38770</v>
      </c>
      <c r="J384" s="1" t="s">
        <v>24</v>
      </c>
      <c r="K384" s="4" t="s">
        <v>217</v>
      </c>
      <c r="L384" s="4" t="s">
        <v>307</v>
      </c>
      <c r="M384" s="4" t="s">
        <v>308</v>
      </c>
      <c r="N384" s="8" t="s">
        <v>2766</v>
      </c>
    </row>
    <row r="385" spans="1:14" ht="18" customHeight="1" x14ac:dyDescent="0.25">
      <c r="A385" s="1">
        <v>384</v>
      </c>
      <c r="B385" s="1">
        <v>901</v>
      </c>
      <c r="C385" s="4"/>
      <c r="D385" s="1">
        <v>1</v>
      </c>
      <c r="E385" s="1" t="s">
        <v>17</v>
      </c>
      <c r="F385" s="4">
        <v>2439</v>
      </c>
      <c r="G385" s="4" t="s">
        <v>349</v>
      </c>
      <c r="H385" s="2" t="s">
        <v>75</v>
      </c>
      <c r="I385" s="7" t="s">
        <v>350</v>
      </c>
      <c r="J385" s="1" t="s">
        <v>28</v>
      </c>
      <c r="K385" s="4" t="s">
        <v>217</v>
      </c>
      <c r="L385" s="4" t="s">
        <v>351</v>
      </c>
      <c r="M385" s="4" t="s">
        <v>182</v>
      </c>
      <c r="N385" s="8" t="s">
        <v>2767</v>
      </c>
    </row>
    <row r="386" spans="1:14" ht="18" customHeight="1" x14ac:dyDescent="0.25">
      <c r="A386" s="1">
        <v>385</v>
      </c>
      <c r="B386" s="1">
        <v>1062</v>
      </c>
      <c r="C386" s="4"/>
      <c r="D386" s="1" t="s">
        <v>128</v>
      </c>
      <c r="E386" s="1" t="s">
        <v>17</v>
      </c>
      <c r="F386" s="4">
        <v>1569</v>
      </c>
      <c r="G386" s="4" t="s">
        <v>352</v>
      </c>
      <c r="H386" s="2" t="s">
        <v>75</v>
      </c>
      <c r="I386" s="7" t="s">
        <v>353</v>
      </c>
      <c r="J386" s="1" t="s">
        <v>28</v>
      </c>
      <c r="K386" s="4" t="s">
        <v>354</v>
      </c>
      <c r="L386" s="4" t="s">
        <v>355</v>
      </c>
      <c r="M386" s="4" t="s">
        <v>356</v>
      </c>
      <c r="N386" s="8" t="s">
        <v>2758</v>
      </c>
    </row>
    <row r="387" spans="1:14" ht="18" customHeight="1" x14ac:dyDescent="0.25">
      <c r="A387" s="1">
        <v>386</v>
      </c>
      <c r="B387" s="1">
        <v>916</v>
      </c>
      <c r="C387" s="4"/>
      <c r="D387" s="1">
        <v>1</v>
      </c>
      <c r="E387" s="1" t="s">
        <v>17</v>
      </c>
      <c r="F387" s="4">
        <v>2527</v>
      </c>
      <c r="G387" s="4" t="s">
        <v>362</v>
      </c>
      <c r="H387" s="2" t="s">
        <v>75</v>
      </c>
      <c r="I387" s="7" t="s">
        <v>363</v>
      </c>
      <c r="J387" s="1" t="s">
        <v>28</v>
      </c>
      <c r="K387" s="4" t="s">
        <v>217</v>
      </c>
      <c r="L387" s="4" t="s">
        <v>364</v>
      </c>
      <c r="M387" s="4" t="s">
        <v>365</v>
      </c>
      <c r="N387" s="8" t="s">
        <v>2768</v>
      </c>
    </row>
    <row r="388" spans="1:14" ht="18" customHeight="1" x14ac:dyDescent="0.25">
      <c r="A388" s="1">
        <v>387</v>
      </c>
      <c r="B388" s="1">
        <v>1061</v>
      </c>
      <c r="C388" s="4"/>
      <c r="D388" s="1" t="s">
        <v>128</v>
      </c>
      <c r="E388" s="1" t="s">
        <v>17</v>
      </c>
      <c r="F388" s="4">
        <v>1564</v>
      </c>
      <c r="G388" s="4" t="s">
        <v>370</v>
      </c>
      <c r="H388" s="2" t="s">
        <v>75</v>
      </c>
      <c r="I388" s="7" t="s">
        <v>371</v>
      </c>
      <c r="J388" s="1" t="s">
        <v>28</v>
      </c>
      <c r="K388" s="4" t="s">
        <v>372</v>
      </c>
      <c r="L388" s="4" t="s">
        <v>373</v>
      </c>
      <c r="M388" s="4" t="s">
        <v>374</v>
      </c>
      <c r="N388" s="8" t="s">
        <v>2769</v>
      </c>
    </row>
    <row r="389" spans="1:14" ht="18" customHeight="1" x14ac:dyDescent="0.25">
      <c r="A389" s="1">
        <v>388</v>
      </c>
      <c r="B389" s="1">
        <v>1096</v>
      </c>
      <c r="C389" s="4"/>
      <c r="D389" s="1" t="s">
        <v>166</v>
      </c>
      <c r="E389" s="1" t="s">
        <v>17</v>
      </c>
      <c r="F389" s="4">
        <v>1556</v>
      </c>
      <c r="G389" s="4" t="s">
        <v>375</v>
      </c>
      <c r="H389" s="2" t="s">
        <v>75</v>
      </c>
      <c r="I389" s="7" t="s">
        <v>376</v>
      </c>
      <c r="J389" s="1" t="s">
        <v>28</v>
      </c>
      <c r="K389" s="4" t="s">
        <v>377</v>
      </c>
      <c r="L389" s="4" t="s">
        <v>378</v>
      </c>
      <c r="M389" s="4" t="s">
        <v>379</v>
      </c>
      <c r="N389" s="8" t="s">
        <v>2770</v>
      </c>
    </row>
    <row r="390" spans="1:14" ht="18" customHeight="1" x14ac:dyDescent="0.25">
      <c r="A390" s="1">
        <v>389</v>
      </c>
      <c r="B390" s="1">
        <v>521</v>
      </c>
      <c r="C390" s="4"/>
      <c r="D390" s="1" t="s">
        <v>243</v>
      </c>
      <c r="E390" s="1" t="s">
        <v>9</v>
      </c>
      <c r="F390" s="4">
        <v>3665</v>
      </c>
      <c r="G390" s="4" t="s">
        <v>357</v>
      </c>
      <c r="H390" s="2" t="s">
        <v>75</v>
      </c>
      <c r="I390" s="7" t="s">
        <v>358</v>
      </c>
      <c r="J390" s="1" t="s">
        <v>28</v>
      </c>
      <c r="K390" s="4" t="s">
        <v>359</v>
      </c>
      <c r="L390" s="4" t="s">
        <v>360</v>
      </c>
      <c r="M390" s="4" t="s">
        <v>361</v>
      </c>
      <c r="N390" s="8" t="s">
        <v>2771</v>
      </c>
    </row>
    <row r="391" spans="1:14" ht="18" customHeight="1" x14ac:dyDescent="0.25">
      <c r="A391" s="1">
        <v>390</v>
      </c>
      <c r="B391" s="1">
        <v>1079</v>
      </c>
      <c r="C391" s="4"/>
      <c r="D391" s="1" t="s">
        <v>128</v>
      </c>
      <c r="E391" s="1" t="s">
        <v>17</v>
      </c>
      <c r="F391" s="4">
        <v>1614</v>
      </c>
      <c r="G391" s="4" t="s">
        <v>407</v>
      </c>
      <c r="H391" s="2" t="s">
        <v>75</v>
      </c>
      <c r="I391" s="7" t="s">
        <v>408</v>
      </c>
      <c r="J391" s="1" t="s">
        <v>30</v>
      </c>
      <c r="K391" s="4" t="s">
        <v>409</v>
      </c>
      <c r="L391" s="4" t="s">
        <v>410</v>
      </c>
      <c r="M391" s="4" t="s">
        <v>411</v>
      </c>
      <c r="N391" s="8" t="s">
        <v>2772</v>
      </c>
    </row>
    <row r="392" spans="1:14" ht="18" customHeight="1" x14ac:dyDescent="0.25">
      <c r="A392" s="1">
        <v>391</v>
      </c>
      <c r="B392" s="1">
        <v>693</v>
      </c>
      <c r="C392" s="4" t="s">
        <v>112</v>
      </c>
      <c r="D392" s="1" t="s">
        <v>166</v>
      </c>
      <c r="E392" s="1" t="s">
        <v>9</v>
      </c>
      <c r="F392" s="4">
        <v>3271</v>
      </c>
      <c r="G392" s="4" t="s">
        <v>401</v>
      </c>
      <c r="H392" s="2" t="s">
        <v>75</v>
      </c>
      <c r="I392" s="7">
        <v>39085</v>
      </c>
      <c r="J392" s="1" t="s">
        <v>30</v>
      </c>
      <c r="K392" s="4" t="s">
        <v>388</v>
      </c>
      <c r="L392" s="4" t="s">
        <v>402</v>
      </c>
      <c r="M392" s="4" t="s">
        <v>403</v>
      </c>
      <c r="N392" s="8" t="s">
        <v>2773</v>
      </c>
    </row>
    <row r="393" spans="1:14" x14ac:dyDescent="0.25">
      <c r="A393" s="1">
        <v>392</v>
      </c>
      <c r="B393" s="1">
        <v>679</v>
      </c>
      <c r="C393" s="4">
        <v>0</v>
      </c>
      <c r="D393" s="1" t="s">
        <v>128</v>
      </c>
      <c r="E393" s="1" t="s">
        <v>9</v>
      </c>
      <c r="F393" s="4">
        <v>3256</v>
      </c>
      <c r="G393" s="4" t="s">
        <v>404</v>
      </c>
      <c r="H393" s="2" t="s">
        <v>75</v>
      </c>
      <c r="I393" s="7">
        <v>39329</v>
      </c>
      <c r="J393" s="1" t="s">
        <v>30</v>
      </c>
      <c r="K393" s="4" t="s">
        <v>405</v>
      </c>
      <c r="L393" s="4" t="s">
        <v>406</v>
      </c>
      <c r="M393" s="4">
        <v>0</v>
      </c>
      <c r="N393" s="8" t="s">
        <v>2774</v>
      </c>
    </row>
    <row r="394" spans="1:14" x14ac:dyDescent="0.25">
      <c r="A394" s="1">
        <v>393</v>
      </c>
      <c r="B394" s="1">
        <v>1017</v>
      </c>
      <c r="C394" s="4"/>
      <c r="D394" s="1" t="s">
        <v>118</v>
      </c>
      <c r="E394" s="1" t="s">
        <v>17</v>
      </c>
      <c r="F394" s="4">
        <v>1546</v>
      </c>
      <c r="G394" s="4" t="s">
        <v>503</v>
      </c>
      <c r="H394" s="2" t="s">
        <v>75</v>
      </c>
      <c r="I394" s="7" t="s">
        <v>504</v>
      </c>
      <c r="J394" s="1" t="s">
        <v>35</v>
      </c>
      <c r="K394" s="4" t="s">
        <v>505</v>
      </c>
      <c r="L394" s="4" t="s">
        <v>506</v>
      </c>
      <c r="M394" s="4" t="s">
        <v>507</v>
      </c>
      <c r="N394" s="8" t="s">
        <v>2775</v>
      </c>
    </row>
    <row r="395" spans="1:14" x14ac:dyDescent="0.25">
      <c r="A395" s="1">
        <v>394</v>
      </c>
      <c r="B395" s="1">
        <v>915</v>
      </c>
      <c r="C395" s="4"/>
      <c r="D395" s="1">
        <v>1</v>
      </c>
      <c r="E395" s="1" t="s">
        <v>17</v>
      </c>
      <c r="F395" s="4">
        <v>2422</v>
      </c>
      <c r="G395" s="4" t="s">
        <v>508</v>
      </c>
      <c r="H395" s="2" t="s">
        <v>75</v>
      </c>
      <c r="I395" s="7" t="s">
        <v>509</v>
      </c>
      <c r="J395" s="1" t="s">
        <v>35</v>
      </c>
      <c r="K395" s="4" t="s">
        <v>217</v>
      </c>
      <c r="L395" s="4" t="s">
        <v>510</v>
      </c>
      <c r="M395" s="4" t="s">
        <v>491</v>
      </c>
      <c r="N395" s="8" t="s">
        <v>2776</v>
      </c>
    </row>
    <row r="396" spans="1:14" x14ac:dyDescent="0.25">
      <c r="A396" s="1">
        <v>395</v>
      </c>
      <c r="B396" s="1">
        <v>1102</v>
      </c>
      <c r="C396" s="4"/>
      <c r="D396" s="1" t="s">
        <v>166</v>
      </c>
      <c r="E396" s="1" t="s">
        <v>17</v>
      </c>
      <c r="F396" s="4">
        <v>1561</v>
      </c>
      <c r="G396" s="4" t="s">
        <v>511</v>
      </c>
      <c r="H396" s="2" t="s">
        <v>75</v>
      </c>
      <c r="I396" s="7" t="s">
        <v>512</v>
      </c>
      <c r="J396" s="1" t="s">
        <v>35</v>
      </c>
      <c r="K396" s="4" t="s">
        <v>513</v>
      </c>
      <c r="L396" s="4" t="s">
        <v>514</v>
      </c>
      <c r="M396" s="4" t="s">
        <v>515</v>
      </c>
      <c r="N396" s="8" t="s">
        <v>2777</v>
      </c>
    </row>
    <row r="397" spans="1:14" x14ac:dyDescent="0.25">
      <c r="A397" s="1">
        <v>396</v>
      </c>
      <c r="B397" s="1">
        <v>1012</v>
      </c>
      <c r="C397" s="4"/>
      <c r="D397" s="1" t="s">
        <v>118</v>
      </c>
      <c r="E397" s="1" t="s">
        <v>17</v>
      </c>
      <c r="F397" s="4">
        <v>1528</v>
      </c>
      <c r="G397" s="4" t="s">
        <v>516</v>
      </c>
      <c r="H397" s="2" t="s">
        <v>75</v>
      </c>
      <c r="I397" s="7" t="s">
        <v>517</v>
      </c>
      <c r="J397" s="1" t="s">
        <v>35</v>
      </c>
      <c r="K397" s="4" t="s">
        <v>518</v>
      </c>
      <c r="L397" s="4" t="s">
        <v>519</v>
      </c>
      <c r="M397" s="4" t="s">
        <v>520</v>
      </c>
      <c r="N397" s="8" t="s">
        <v>2778</v>
      </c>
    </row>
    <row r="398" spans="1:14" x14ac:dyDescent="0.25">
      <c r="A398" s="1">
        <v>397</v>
      </c>
      <c r="B398" s="1">
        <v>1031</v>
      </c>
      <c r="C398" s="4"/>
      <c r="D398" s="1" t="s">
        <v>118</v>
      </c>
      <c r="E398" s="1" t="s">
        <v>17</v>
      </c>
      <c r="F398" s="4">
        <v>1588</v>
      </c>
      <c r="G398" s="4" t="s">
        <v>521</v>
      </c>
      <c r="H398" s="2" t="s">
        <v>75</v>
      </c>
      <c r="I398" s="7" t="s">
        <v>517</v>
      </c>
      <c r="J398" s="1" t="s">
        <v>35</v>
      </c>
      <c r="K398" s="4" t="s">
        <v>522</v>
      </c>
      <c r="L398" s="4" t="s">
        <v>523</v>
      </c>
      <c r="M398" s="4">
        <v>0</v>
      </c>
      <c r="N398" s="8" t="s">
        <v>2778</v>
      </c>
    </row>
    <row r="399" spans="1:14" x14ac:dyDescent="0.25">
      <c r="A399" s="1">
        <v>398</v>
      </c>
      <c r="B399" s="1">
        <v>968</v>
      </c>
      <c r="C399" s="4"/>
      <c r="D399" s="1">
        <v>1</v>
      </c>
      <c r="E399" s="1" t="s">
        <v>17</v>
      </c>
      <c r="F399" s="4">
        <v>2530</v>
      </c>
      <c r="G399" s="4" t="s">
        <v>524</v>
      </c>
      <c r="H399" s="2" t="s">
        <v>75</v>
      </c>
      <c r="I399" s="7" t="s">
        <v>525</v>
      </c>
      <c r="J399" s="1" t="s">
        <v>35</v>
      </c>
      <c r="K399" s="4" t="s">
        <v>399</v>
      </c>
      <c r="L399" s="4" t="s">
        <v>526</v>
      </c>
      <c r="M399" s="4" t="s">
        <v>527</v>
      </c>
      <c r="N399" s="8" t="s">
        <v>2779</v>
      </c>
    </row>
    <row r="400" spans="1:14" x14ac:dyDescent="0.25">
      <c r="A400" s="1">
        <v>399</v>
      </c>
      <c r="B400" s="1">
        <v>758</v>
      </c>
      <c r="C400" s="4" t="s">
        <v>444</v>
      </c>
      <c r="D400" s="1" t="s">
        <v>153</v>
      </c>
      <c r="E400" s="1" t="s">
        <v>9</v>
      </c>
      <c r="F400" s="4">
        <v>2772</v>
      </c>
      <c r="G400" s="4" t="s">
        <v>684</v>
      </c>
      <c r="H400" s="2" t="s">
        <v>75</v>
      </c>
      <c r="I400" s="7">
        <v>39083</v>
      </c>
      <c r="J400" s="1" t="s">
        <v>43</v>
      </c>
      <c r="K400" s="4" t="s">
        <v>217</v>
      </c>
      <c r="L400" s="4" t="s">
        <v>459</v>
      </c>
      <c r="M400" s="4" t="s">
        <v>685</v>
      </c>
      <c r="N400" s="8" t="s">
        <v>2780</v>
      </c>
    </row>
    <row r="401" spans="1:14" x14ac:dyDescent="0.25">
      <c r="A401" s="1">
        <v>400</v>
      </c>
      <c r="B401" s="1">
        <v>484</v>
      </c>
      <c r="C401" s="4"/>
      <c r="D401" s="1" t="s">
        <v>110</v>
      </c>
      <c r="E401" s="1" t="s">
        <v>9</v>
      </c>
      <c r="F401" s="4">
        <v>3632</v>
      </c>
      <c r="G401" s="4" t="s">
        <v>703</v>
      </c>
      <c r="H401" s="2" t="s">
        <v>75</v>
      </c>
      <c r="I401" s="7" t="s">
        <v>704</v>
      </c>
      <c r="J401" s="1" t="s">
        <v>43</v>
      </c>
      <c r="K401" s="4" t="s">
        <v>705</v>
      </c>
      <c r="L401" s="4" t="s">
        <v>706</v>
      </c>
      <c r="M401" s="4" t="s">
        <v>707</v>
      </c>
      <c r="N401" s="8" t="s">
        <v>2781</v>
      </c>
    </row>
    <row r="402" spans="1:14" x14ac:dyDescent="0.25">
      <c r="A402" s="1">
        <v>401</v>
      </c>
      <c r="B402" s="1">
        <v>295</v>
      </c>
      <c r="C402" s="4">
        <v>0</v>
      </c>
      <c r="D402" s="1" t="s">
        <v>246</v>
      </c>
      <c r="E402" s="1" t="s">
        <v>15</v>
      </c>
      <c r="F402" s="4">
        <v>2987</v>
      </c>
      <c r="G402" s="4" t="s">
        <v>721</v>
      </c>
      <c r="H402" s="2" t="s">
        <v>75</v>
      </c>
      <c r="I402" s="7">
        <v>39343</v>
      </c>
      <c r="J402" s="1" t="s">
        <v>45</v>
      </c>
      <c r="K402" s="4" t="s">
        <v>722</v>
      </c>
      <c r="L402" s="4" t="s">
        <v>277</v>
      </c>
      <c r="M402" s="4" t="s">
        <v>545</v>
      </c>
      <c r="N402" s="8" t="s">
        <v>2761</v>
      </c>
    </row>
    <row r="403" spans="1:14" x14ac:dyDescent="0.25">
      <c r="A403" s="1">
        <v>402</v>
      </c>
      <c r="B403" s="1">
        <v>477</v>
      </c>
      <c r="C403" s="4"/>
      <c r="D403" s="1" t="s">
        <v>110</v>
      </c>
      <c r="E403" s="1" t="s">
        <v>9</v>
      </c>
      <c r="F403" s="4">
        <v>3625</v>
      </c>
      <c r="G403" s="4" t="s">
        <v>721</v>
      </c>
      <c r="H403" s="2" t="s">
        <v>75</v>
      </c>
      <c r="I403" s="7">
        <v>39343</v>
      </c>
      <c r="J403" s="1" t="s">
        <v>45</v>
      </c>
      <c r="K403" s="4" t="s">
        <v>722</v>
      </c>
      <c r="L403" s="4" t="s">
        <v>723</v>
      </c>
      <c r="M403" s="4" t="s">
        <v>724</v>
      </c>
      <c r="N403" s="8" t="s">
        <v>2761</v>
      </c>
    </row>
    <row r="404" spans="1:14" x14ac:dyDescent="0.25">
      <c r="A404" s="1">
        <v>403</v>
      </c>
      <c r="B404" s="1">
        <v>1114</v>
      </c>
      <c r="C404" s="4"/>
      <c r="D404" s="1" t="s">
        <v>166</v>
      </c>
      <c r="E404" s="1" t="s">
        <v>17</v>
      </c>
      <c r="F404" s="4">
        <v>1618</v>
      </c>
      <c r="G404" s="4" t="s">
        <v>875</v>
      </c>
      <c r="H404" s="2" t="s">
        <v>75</v>
      </c>
      <c r="I404" s="7" t="s">
        <v>876</v>
      </c>
      <c r="J404" s="1" t="s">
        <v>52</v>
      </c>
      <c r="K404" s="4" t="s">
        <v>877</v>
      </c>
      <c r="L404" s="4" t="s">
        <v>878</v>
      </c>
      <c r="M404" s="4" t="s">
        <v>879</v>
      </c>
      <c r="N404" s="8" t="s">
        <v>2782</v>
      </c>
    </row>
    <row r="405" spans="1:14" x14ac:dyDescent="0.25">
      <c r="A405" s="1">
        <v>404</v>
      </c>
      <c r="B405" s="1">
        <v>1113</v>
      </c>
      <c r="C405" s="4"/>
      <c r="D405" s="1" t="s">
        <v>166</v>
      </c>
      <c r="E405" s="1" t="s">
        <v>17</v>
      </c>
      <c r="F405" s="4">
        <v>1616</v>
      </c>
      <c r="G405" s="4" t="s">
        <v>921</v>
      </c>
      <c r="H405" s="2" t="s">
        <v>75</v>
      </c>
      <c r="I405" s="7" t="s">
        <v>922</v>
      </c>
      <c r="J405" s="1" t="s">
        <v>53</v>
      </c>
      <c r="K405" s="4" t="s">
        <v>518</v>
      </c>
      <c r="L405" s="4" t="s">
        <v>923</v>
      </c>
      <c r="M405" s="4" t="s">
        <v>924</v>
      </c>
      <c r="N405" s="8" t="s">
        <v>2783</v>
      </c>
    </row>
    <row r="406" spans="1:14" x14ac:dyDescent="0.25">
      <c r="A406" s="1">
        <v>405</v>
      </c>
      <c r="B406" s="1">
        <v>621</v>
      </c>
      <c r="C406" s="4" t="s">
        <v>180</v>
      </c>
      <c r="D406" s="1" t="s">
        <v>118</v>
      </c>
      <c r="E406" s="1" t="s">
        <v>9</v>
      </c>
      <c r="F406" s="4">
        <v>3513</v>
      </c>
      <c r="G406" s="4" t="s">
        <v>993</v>
      </c>
      <c r="H406" s="2" t="s">
        <v>75</v>
      </c>
      <c r="I406" s="7">
        <v>0</v>
      </c>
      <c r="J406" s="1" t="s">
        <v>57</v>
      </c>
      <c r="K406" s="4" t="s">
        <v>994</v>
      </c>
      <c r="L406" s="4" t="s">
        <v>995</v>
      </c>
      <c r="M406" s="4">
        <v>0</v>
      </c>
      <c r="N406" s="8" t="s">
        <v>2784</v>
      </c>
    </row>
    <row r="407" spans="1:14" x14ac:dyDescent="0.25">
      <c r="A407" s="1">
        <v>406</v>
      </c>
      <c r="B407" s="1">
        <v>818</v>
      </c>
      <c r="C407" s="4" t="s">
        <v>117</v>
      </c>
      <c r="D407" s="1" t="s">
        <v>113</v>
      </c>
      <c r="E407" s="1" t="s">
        <v>9</v>
      </c>
      <c r="F407" s="4">
        <v>2786</v>
      </c>
      <c r="G407" s="4" t="s">
        <v>1011</v>
      </c>
      <c r="H407" s="2" t="s">
        <v>75</v>
      </c>
      <c r="I407" s="7">
        <v>39190</v>
      </c>
      <c r="J407" s="1" t="s">
        <v>59</v>
      </c>
      <c r="K407" s="4" t="s">
        <v>1012</v>
      </c>
      <c r="L407" s="4" t="s">
        <v>1013</v>
      </c>
      <c r="M407" s="4">
        <v>0</v>
      </c>
      <c r="N407" s="8" t="s">
        <v>2785</v>
      </c>
    </row>
    <row r="408" spans="1:14" x14ac:dyDescent="0.25">
      <c r="A408" s="1">
        <v>407</v>
      </c>
      <c r="B408" s="1">
        <v>792</v>
      </c>
      <c r="C408" s="4"/>
      <c r="D408" s="1" t="s">
        <v>123</v>
      </c>
      <c r="E408" s="1" t="s">
        <v>9</v>
      </c>
      <c r="F408" s="4">
        <v>2863</v>
      </c>
      <c r="G408" s="4" t="s">
        <v>1029</v>
      </c>
      <c r="H408" s="2" t="s">
        <v>75</v>
      </c>
      <c r="I408" s="7">
        <v>39324</v>
      </c>
      <c r="J408" s="1" t="s">
        <v>60</v>
      </c>
      <c r="K408" s="4" t="s">
        <v>1030</v>
      </c>
      <c r="L408" s="4" t="s">
        <v>1031</v>
      </c>
      <c r="M408" s="4" t="s">
        <v>1032</v>
      </c>
      <c r="N408" s="8" t="s">
        <v>2786</v>
      </c>
    </row>
    <row r="409" spans="1:14" x14ac:dyDescent="0.25">
      <c r="A409" s="1">
        <v>408</v>
      </c>
      <c r="B409" s="1">
        <v>1050</v>
      </c>
      <c r="C409" s="4"/>
      <c r="D409" s="1" t="s">
        <v>128</v>
      </c>
      <c r="E409" s="1" t="s">
        <v>17</v>
      </c>
      <c r="F409" s="4">
        <v>1536</v>
      </c>
      <c r="G409" s="4" t="s">
        <v>1052</v>
      </c>
      <c r="H409" s="2" t="s">
        <v>75</v>
      </c>
      <c r="I409" s="7" t="s">
        <v>1053</v>
      </c>
      <c r="J409" s="1" t="s">
        <v>61</v>
      </c>
      <c r="K409" s="4" t="s">
        <v>1054</v>
      </c>
      <c r="L409" s="4" t="s">
        <v>1055</v>
      </c>
      <c r="M409" s="4">
        <v>0</v>
      </c>
      <c r="N409" s="8" t="s">
        <v>2787</v>
      </c>
    </row>
    <row r="410" spans="1:14" x14ac:dyDescent="0.25">
      <c r="A410" s="1">
        <v>409</v>
      </c>
      <c r="B410" s="1">
        <v>1044</v>
      </c>
      <c r="C410" s="4"/>
      <c r="D410" s="1" t="s">
        <v>128</v>
      </c>
      <c r="E410" s="1" t="s">
        <v>17</v>
      </c>
      <c r="F410" s="4">
        <v>1520</v>
      </c>
      <c r="G410" s="4" t="s">
        <v>1081</v>
      </c>
      <c r="H410" s="2" t="s">
        <v>75</v>
      </c>
      <c r="I410" s="7" t="s">
        <v>1082</v>
      </c>
      <c r="J410" s="1" t="s">
        <v>62</v>
      </c>
      <c r="K410" s="4" t="s">
        <v>1083</v>
      </c>
      <c r="L410" s="4" t="s">
        <v>1084</v>
      </c>
      <c r="M410" s="4">
        <v>0</v>
      </c>
      <c r="N410" s="8" t="s">
        <v>2788</v>
      </c>
    </row>
    <row r="411" spans="1:14" x14ac:dyDescent="0.25">
      <c r="A411" s="1">
        <v>410</v>
      </c>
      <c r="B411" s="1">
        <v>945</v>
      </c>
      <c r="C411" s="4"/>
      <c r="D411" s="1">
        <v>1</v>
      </c>
      <c r="E411" s="1" t="s">
        <v>17</v>
      </c>
      <c r="F411" s="4">
        <v>2448</v>
      </c>
      <c r="G411" s="4" t="s">
        <v>989</v>
      </c>
      <c r="H411" s="2" t="s">
        <v>75</v>
      </c>
      <c r="I411" s="7" t="s">
        <v>1095</v>
      </c>
      <c r="J411" s="1" t="s">
        <v>63</v>
      </c>
      <c r="K411" s="4" t="s">
        <v>1096</v>
      </c>
      <c r="L411" s="4" t="s">
        <v>402</v>
      </c>
      <c r="M411" s="4" t="s">
        <v>403</v>
      </c>
      <c r="N411" s="8" t="s">
        <v>2789</v>
      </c>
    </row>
    <row r="412" spans="1:14" x14ac:dyDescent="0.25">
      <c r="A412" s="1">
        <v>411</v>
      </c>
      <c r="B412" s="1">
        <v>868</v>
      </c>
      <c r="C412" s="4" t="s">
        <v>112</v>
      </c>
      <c r="D412" s="1" t="s">
        <v>91</v>
      </c>
      <c r="E412" s="1" t="s">
        <v>9</v>
      </c>
      <c r="F412" s="4">
        <v>2831</v>
      </c>
      <c r="G412" s="4" t="s">
        <v>1088</v>
      </c>
      <c r="H412" s="2" t="s">
        <v>75</v>
      </c>
      <c r="I412" s="7">
        <v>38604</v>
      </c>
      <c r="J412" s="1" t="s">
        <v>63</v>
      </c>
      <c r="K412" s="4" t="s">
        <v>1089</v>
      </c>
      <c r="L412" s="4" t="s">
        <v>1090</v>
      </c>
      <c r="M412" s="4" t="s">
        <v>1091</v>
      </c>
      <c r="N412" s="8" t="s">
        <v>2790</v>
      </c>
    </row>
    <row r="413" spans="1:14" x14ac:dyDescent="0.25">
      <c r="A413" s="1">
        <v>412</v>
      </c>
      <c r="B413" s="1">
        <v>1075</v>
      </c>
      <c r="C413" s="4"/>
      <c r="D413" s="1" t="s">
        <v>128</v>
      </c>
      <c r="E413" s="1" t="s">
        <v>17</v>
      </c>
      <c r="F413" s="4">
        <v>1607</v>
      </c>
      <c r="G413" s="4" t="s">
        <v>1113</v>
      </c>
      <c r="H413" s="2" t="s">
        <v>75</v>
      </c>
      <c r="I413" s="7" t="s">
        <v>1114</v>
      </c>
      <c r="J413" s="1" t="s">
        <v>66</v>
      </c>
      <c r="K413" s="4" t="s">
        <v>1115</v>
      </c>
      <c r="L413" s="4" t="s">
        <v>102</v>
      </c>
      <c r="M413" s="4" t="s">
        <v>497</v>
      </c>
      <c r="N413" s="8" t="s">
        <v>2791</v>
      </c>
    </row>
    <row r="414" spans="1:14" x14ac:dyDescent="0.25">
      <c r="A414" s="1">
        <v>413</v>
      </c>
      <c r="B414" s="1">
        <v>806</v>
      </c>
      <c r="C414" s="4"/>
      <c r="D414" s="1" t="s">
        <v>123</v>
      </c>
      <c r="E414" s="1" t="s">
        <v>9</v>
      </c>
      <c r="F414" s="4">
        <v>3192</v>
      </c>
      <c r="G414" s="4" t="s">
        <v>1133</v>
      </c>
      <c r="H414" s="2" t="s">
        <v>75</v>
      </c>
      <c r="I414" s="7">
        <v>38590</v>
      </c>
      <c r="J414" s="1" t="s">
        <v>68</v>
      </c>
      <c r="K414" s="4" t="s">
        <v>1134</v>
      </c>
      <c r="L414" s="4" t="s">
        <v>1135</v>
      </c>
      <c r="M414" s="4" t="s">
        <v>1136</v>
      </c>
      <c r="N414" s="8" t="s">
        <v>2792</v>
      </c>
    </row>
    <row r="415" spans="1:14" x14ac:dyDescent="0.25">
      <c r="A415" s="1">
        <v>414</v>
      </c>
      <c r="B415" s="1">
        <v>1065</v>
      </c>
      <c r="C415" s="4"/>
      <c r="D415" s="1" t="s">
        <v>128</v>
      </c>
      <c r="E415" s="1" t="s">
        <v>17</v>
      </c>
      <c r="F415" s="4">
        <v>1578</v>
      </c>
      <c r="G415" s="4" t="s">
        <v>1180</v>
      </c>
      <c r="H415" s="2" t="s">
        <v>75</v>
      </c>
      <c r="I415" s="7" t="s">
        <v>1181</v>
      </c>
      <c r="J415" s="1" t="s">
        <v>72</v>
      </c>
      <c r="K415" s="4" t="s">
        <v>1182</v>
      </c>
      <c r="L415" s="4" t="s">
        <v>1183</v>
      </c>
      <c r="M415" s="4" t="s">
        <v>1184</v>
      </c>
      <c r="N415" s="8" t="s">
        <v>2793</v>
      </c>
    </row>
    <row r="416" spans="1:14" x14ac:dyDescent="0.25">
      <c r="A416" s="1">
        <v>415</v>
      </c>
      <c r="B416" s="1">
        <v>918</v>
      </c>
      <c r="C416" s="4"/>
      <c r="D416" s="1">
        <v>1</v>
      </c>
      <c r="E416" s="1" t="s">
        <v>17</v>
      </c>
      <c r="F416" s="4">
        <v>2908</v>
      </c>
      <c r="G416" s="4" t="s">
        <v>1215</v>
      </c>
      <c r="H416" s="2" t="s">
        <v>75</v>
      </c>
      <c r="I416" s="7">
        <v>38457</v>
      </c>
      <c r="J416" s="1" t="s">
        <v>74</v>
      </c>
      <c r="K416" s="4" t="s">
        <v>1216</v>
      </c>
      <c r="L416" s="4" t="s">
        <v>1217</v>
      </c>
      <c r="M416" s="4" t="s">
        <v>1218</v>
      </c>
      <c r="N416" s="8" t="s">
        <v>2794</v>
      </c>
    </row>
    <row r="417" spans="1:14" x14ac:dyDescent="0.25">
      <c r="A417" s="1">
        <v>416</v>
      </c>
      <c r="B417" s="1">
        <v>970</v>
      </c>
      <c r="C417" s="4"/>
      <c r="D417" s="1">
        <v>1</v>
      </c>
      <c r="E417" s="1" t="s">
        <v>17</v>
      </c>
      <c r="F417" s="4">
        <v>2410</v>
      </c>
      <c r="G417" s="4" t="s">
        <v>1272</v>
      </c>
      <c r="H417" s="2" t="s">
        <v>75</v>
      </c>
      <c r="I417" s="7" t="s">
        <v>1273</v>
      </c>
      <c r="J417" s="1" t="s">
        <v>23</v>
      </c>
      <c r="K417" s="4" t="s">
        <v>1274</v>
      </c>
      <c r="L417" s="4" t="s">
        <v>1275</v>
      </c>
      <c r="M417" s="4" t="s">
        <v>108</v>
      </c>
      <c r="N417" s="8" t="s">
        <v>2795</v>
      </c>
    </row>
    <row r="418" spans="1:14" x14ac:dyDescent="0.25">
      <c r="A418" s="1">
        <v>417</v>
      </c>
      <c r="B418" s="1">
        <v>959</v>
      </c>
      <c r="C418" s="4"/>
      <c r="D418" s="1">
        <v>1</v>
      </c>
      <c r="E418" s="1" t="s">
        <v>17</v>
      </c>
      <c r="F418" s="4">
        <v>2428</v>
      </c>
      <c r="G418" s="4" t="s">
        <v>262</v>
      </c>
      <c r="H418" s="2" t="s">
        <v>75</v>
      </c>
      <c r="I418" s="7" t="s">
        <v>263</v>
      </c>
      <c r="J418" s="1" t="s">
        <v>23</v>
      </c>
      <c r="K418" s="4" t="s">
        <v>264</v>
      </c>
      <c r="L418" s="4" t="s">
        <v>265</v>
      </c>
      <c r="M418" s="4">
        <v>0</v>
      </c>
      <c r="N418" s="8" t="s">
        <v>2796</v>
      </c>
    </row>
    <row r="419" spans="1:14" x14ac:dyDescent="0.25">
      <c r="A419" s="1">
        <v>418</v>
      </c>
      <c r="B419" s="1">
        <v>729</v>
      </c>
      <c r="C419" s="4"/>
      <c r="D419" s="1" t="s">
        <v>152</v>
      </c>
      <c r="E419" s="1" t="s">
        <v>9</v>
      </c>
      <c r="F419" s="4">
        <v>3301</v>
      </c>
      <c r="G419" s="4" t="s">
        <v>1286</v>
      </c>
      <c r="H419" s="2" t="s">
        <v>75</v>
      </c>
      <c r="I419" s="7">
        <v>39255</v>
      </c>
      <c r="J419" s="1" t="s">
        <v>23</v>
      </c>
      <c r="K419" s="4" t="s">
        <v>1287</v>
      </c>
      <c r="L419" s="4" t="s">
        <v>1288</v>
      </c>
      <c r="M419" s="4" t="s">
        <v>1289</v>
      </c>
      <c r="N419" s="8" t="s">
        <v>2797</v>
      </c>
    </row>
    <row r="420" spans="1:14" x14ac:dyDescent="0.25">
      <c r="A420" s="1">
        <v>419</v>
      </c>
      <c r="B420" s="1">
        <v>822</v>
      </c>
      <c r="C420" s="4" t="s">
        <v>112</v>
      </c>
      <c r="D420" s="1" t="s">
        <v>113</v>
      </c>
      <c r="E420" s="1" t="s">
        <v>9</v>
      </c>
      <c r="F420" s="4">
        <v>2755</v>
      </c>
      <c r="G420" s="4" t="s">
        <v>1290</v>
      </c>
      <c r="H420" s="2" t="s">
        <v>75</v>
      </c>
      <c r="I420" s="7">
        <v>38452</v>
      </c>
      <c r="J420" s="1" t="s">
        <v>23</v>
      </c>
      <c r="K420" s="4" t="s">
        <v>1291</v>
      </c>
      <c r="L420" s="4" t="s">
        <v>1292</v>
      </c>
      <c r="M420" s="4" t="s">
        <v>1248</v>
      </c>
      <c r="N420" s="8" t="s">
        <v>2798</v>
      </c>
    </row>
    <row r="421" spans="1:14" x14ac:dyDescent="0.25">
      <c r="A421" s="1">
        <v>420</v>
      </c>
      <c r="B421" s="1">
        <v>532</v>
      </c>
      <c r="C421" s="4" t="s">
        <v>117</v>
      </c>
      <c r="D421" s="1" t="s">
        <v>206</v>
      </c>
      <c r="E421" s="1" t="s">
        <v>9</v>
      </c>
      <c r="F421" s="4">
        <v>3694</v>
      </c>
      <c r="G421" s="4" t="s">
        <v>1282</v>
      </c>
      <c r="H421" s="2" t="s">
        <v>75</v>
      </c>
      <c r="I421" s="7" t="s">
        <v>1283</v>
      </c>
      <c r="J421" s="1" t="s">
        <v>47</v>
      </c>
      <c r="K421" s="4" t="s">
        <v>1284</v>
      </c>
      <c r="L421" s="4" t="s">
        <v>1285</v>
      </c>
      <c r="M421" s="4" t="s">
        <v>541</v>
      </c>
      <c r="N421" s="8" t="s">
        <v>2799</v>
      </c>
    </row>
    <row r="422" spans="1:14" x14ac:dyDescent="0.25">
      <c r="A422" s="1">
        <v>421</v>
      </c>
      <c r="B422" s="1">
        <v>1082</v>
      </c>
      <c r="C422" s="4"/>
      <c r="D422" s="1" t="s">
        <v>166</v>
      </c>
      <c r="E422" s="1" t="s">
        <v>17</v>
      </c>
      <c r="F422" s="4">
        <v>1519</v>
      </c>
      <c r="G422" s="4" t="s">
        <v>1293</v>
      </c>
      <c r="H422" s="2" t="s">
        <v>75</v>
      </c>
      <c r="I422" s="7" t="s">
        <v>1294</v>
      </c>
      <c r="J422" s="1" t="s">
        <v>44</v>
      </c>
      <c r="K422" s="4" t="s">
        <v>1295</v>
      </c>
      <c r="L422" s="4" t="s">
        <v>1296</v>
      </c>
      <c r="M422" s="4" t="s">
        <v>1297</v>
      </c>
      <c r="N422" s="8" t="s">
        <v>2800</v>
      </c>
    </row>
    <row r="423" spans="1:14" x14ac:dyDescent="0.25">
      <c r="A423" s="1">
        <v>422</v>
      </c>
      <c r="B423" s="1">
        <v>1077</v>
      </c>
      <c r="C423" s="4"/>
      <c r="D423" s="1" t="s">
        <v>128</v>
      </c>
      <c r="E423" s="1" t="s">
        <v>17</v>
      </c>
      <c r="F423" s="4">
        <v>1611</v>
      </c>
      <c r="G423" s="4" t="s">
        <v>1312</v>
      </c>
      <c r="H423" s="2" t="s">
        <v>75</v>
      </c>
      <c r="I423" s="7" t="s">
        <v>816</v>
      </c>
      <c r="J423" s="1" t="s">
        <v>26</v>
      </c>
      <c r="K423" s="4" t="s">
        <v>1313</v>
      </c>
      <c r="L423" s="4" t="s">
        <v>1314</v>
      </c>
      <c r="M423" s="4" t="s">
        <v>1189</v>
      </c>
      <c r="N423" s="8" t="s">
        <v>2801</v>
      </c>
    </row>
    <row r="424" spans="1:14" x14ac:dyDescent="0.25">
      <c r="A424" s="1">
        <v>423</v>
      </c>
      <c r="B424" s="1">
        <v>1124</v>
      </c>
      <c r="C424" s="4"/>
      <c r="D424" s="1" t="s">
        <v>153</v>
      </c>
      <c r="E424" s="1" t="s">
        <v>17</v>
      </c>
      <c r="F424" s="4">
        <v>1375</v>
      </c>
      <c r="G424" s="4" t="s">
        <v>1410</v>
      </c>
      <c r="H424" s="2" t="s">
        <v>75</v>
      </c>
      <c r="I424" s="7" t="s">
        <v>1411</v>
      </c>
      <c r="J424" s="1" t="s">
        <v>86</v>
      </c>
      <c r="K424" s="4" t="s">
        <v>1412</v>
      </c>
      <c r="L424" s="4" t="s">
        <v>1413</v>
      </c>
      <c r="M424" s="4">
        <v>0</v>
      </c>
      <c r="N424" s="8" t="s">
        <v>2802</v>
      </c>
    </row>
    <row r="425" spans="1:14" x14ac:dyDescent="0.25">
      <c r="A425" s="1">
        <v>424</v>
      </c>
      <c r="B425" s="1">
        <v>1131</v>
      </c>
      <c r="C425" s="4"/>
      <c r="D425" s="1" t="s">
        <v>153</v>
      </c>
      <c r="E425" s="1" t="s">
        <v>17</v>
      </c>
      <c r="F425" s="4">
        <v>1382</v>
      </c>
      <c r="G425" s="4" t="s">
        <v>1456</v>
      </c>
      <c r="H425" s="2" t="s">
        <v>75</v>
      </c>
      <c r="I425" s="7" t="s">
        <v>1457</v>
      </c>
      <c r="J425" s="1" t="s">
        <v>86</v>
      </c>
      <c r="K425" s="4" t="s">
        <v>1458</v>
      </c>
      <c r="L425" s="4" t="s">
        <v>1459</v>
      </c>
      <c r="M425" s="4">
        <v>0</v>
      </c>
      <c r="N425" s="8" t="s">
        <v>2803</v>
      </c>
    </row>
    <row r="426" spans="1:14" x14ac:dyDescent="0.25">
      <c r="A426" s="1">
        <v>425</v>
      </c>
      <c r="B426" s="60"/>
      <c r="C426" s="4"/>
      <c r="D426" s="60" t="s">
        <v>2739</v>
      </c>
      <c r="E426" s="60" t="s">
        <v>9</v>
      </c>
      <c r="F426" s="4"/>
      <c r="G426" s="57" t="s">
        <v>2740</v>
      </c>
      <c r="H426" s="2" t="s">
        <v>75</v>
      </c>
      <c r="I426" s="62">
        <v>39389</v>
      </c>
      <c r="J426" s="60" t="s">
        <v>23</v>
      </c>
      <c r="K426" s="57" t="s">
        <v>2741</v>
      </c>
      <c r="L426" s="4"/>
      <c r="M426" s="4"/>
      <c r="N426" s="61" t="s">
        <v>2804</v>
      </c>
    </row>
    <row r="427" spans="1:14" x14ac:dyDescent="0.25">
      <c r="A427" s="1">
        <v>426</v>
      </c>
      <c r="B427" s="1">
        <v>856</v>
      </c>
      <c r="C427" s="4" t="s">
        <v>144</v>
      </c>
      <c r="D427" s="1" t="s">
        <v>91</v>
      </c>
      <c r="E427" s="1" t="s">
        <v>9</v>
      </c>
      <c r="F427" s="4">
        <v>2795</v>
      </c>
      <c r="G427" s="4" t="s">
        <v>1125</v>
      </c>
      <c r="H427" s="2" t="s">
        <v>280</v>
      </c>
      <c r="I427" s="7">
        <v>38524</v>
      </c>
      <c r="J427" s="1" t="s">
        <v>67</v>
      </c>
      <c r="K427" s="4" t="s">
        <v>1126</v>
      </c>
      <c r="L427" s="4" t="s">
        <v>1127</v>
      </c>
      <c r="M427" s="4" t="s">
        <v>1128</v>
      </c>
      <c r="N427" s="8" t="s">
        <v>2805</v>
      </c>
    </row>
    <row r="428" spans="1:14" x14ac:dyDescent="0.25">
      <c r="A428" s="1">
        <v>427</v>
      </c>
      <c r="B428" s="1">
        <v>483</v>
      </c>
      <c r="C428" s="4"/>
      <c r="D428" s="1" t="s">
        <v>110</v>
      </c>
      <c r="E428" s="1" t="s">
        <v>9</v>
      </c>
      <c r="F428" s="4">
        <v>2803</v>
      </c>
      <c r="G428" s="4" t="s">
        <v>1165</v>
      </c>
      <c r="H428" s="2" t="s">
        <v>1166</v>
      </c>
      <c r="I428" s="7">
        <v>38955</v>
      </c>
      <c r="J428" s="1" t="s">
        <v>71</v>
      </c>
      <c r="K428" s="4" t="s">
        <v>1167</v>
      </c>
      <c r="L428" s="4" t="s">
        <v>1168</v>
      </c>
      <c r="M428" s="4" t="s">
        <v>1169</v>
      </c>
      <c r="N428" s="8" t="s">
        <v>2806</v>
      </c>
    </row>
  </sheetData>
  <autoFilter ref="A1:N375" xr:uid="{6B81BB45-339D-49CB-9365-512FC6CBF411}">
    <sortState xmlns:xlrd2="http://schemas.microsoft.com/office/spreadsheetml/2017/richdata2" ref="A2:N375">
      <sortCondition ref="A1:A375"/>
    </sortState>
  </autoFilter>
  <phoneticPr fontId="1" type="noConversion"/>
  <pageMargins left="0" right="0" top="0.39370078740157483" bottom="0" header="0.31496062992125984" footer="0"/>
  <pageSetup paperSize="9" scale="65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80974-EA28-41C8-AEF9-93878C034EC8}">
  <sheetPr codeName="Sheet2"/>
  <dimension ref="A1:S33"/>
  <sheetViews>
    <sheetView tabSelected="1" view="pageLayout" zoomScaleNormal="100" workbookViewId="0">
      <selection activeCell="K4" sqref="K4"/>
    </sheetView>
  </sheetViews>
  <sheetFormatPr defaultRowHeight="15" x14ac:dyDescent="0.25"/>
  <cols>
    <col min="1" max="1" width="6.5703125" customWidth="1"/>
    <col min="2" max="2" width="4.28515625" customWidth="1"/>
    <col min="6" max="6" width="9.85546875" customWidth="1"/>
    <col min="7" max="7" width="7.28515625" customWidth="1"/>
    <col min="9" max="9" width="6.85546875" customWidth="1"/>
    <col min="10" max="10" width="8.85546875" customWidth="1"/>
    <col min="11" max="11" width="5" customWidth="1"/>
    <col min="12" max="12" width="6.5703125" customWidth="1"/>
    <col min="13" max="13" width="4.5703125" customWidth="1"/>
    <col min="17" max="17" width="9.85546875" customWidth="1"/>
    <col min="18" max="18" width="7.28515625" customWidth="1"/>
  </cols>
  <sheetData>
    <row r="1" spans="1:19" x14ac:dyDescent="0.25">
      <c r="A1" s="18"/>
      <c r="B1" s="18"/>
      <c r="C1" s="18"/>
      <c r="D1" s="18"/>
      <c r="E1" s="18"/>
      <c r="F1" s="18"/>
      <c r="G1" s="18"/>
      <c r="H1" s="18"/>
      <c r="I1" s="18"/>
      <c r="J1" s="33">
        <v>427</v>
      </c>
      <c r="K1" s="19"/>
      <c r="L1" s="18"/>
      <c r="M1" s="18"/>
      <c r="N1" s="18"/>
      <c r="O1" s="18"/>
      <c r="P1" s="18"/>
      <c r="Q1" s="18"/>
      <c r="R1" s="18"/>
      <c r="S1" s="18"/>
    </row>
    <row r="2" spans="1:19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9"/>
      <c r="L2" s="18"/>
      <c r="M2" s="18"/>
      <c r="N2" s="18"/>
      <c r="O2" s="18"/>
      <c r="P2" s="18"/>
      <c r="Q2" s="18"/>
      <c r="R2" s="18"/>
      <c r="S2" s="18"/>
    </row>
    <row r="3" spans="1:19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9"/>
      <c r="L3" s="18"/>
      <c r="M3" s="18"/>
      <c r="N3" s="18"/>
      <c r="O3" s="18"/>
      <c r="P3" s="18"/>
      <c r="Q3" s="18"/>
      <c r="R3" s="18"/>
      <c r="S3" s="18"/>
    </row>
    <row r="4" spans="1:19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9"/>
      <c r="L4" s="18"/>
      <c r="M4" s="18"/>
      <c r="N4" s="18"/>
      <c r="O4" s="18"/>
      <c r="P4" s="18"/>
      <c r="Q4" s="18"/>
      <c r="R4" s="18"/>
      <c r="S4" s="18"/>
    </row>
    <row r="5" spans="1:19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9"/>
      <c r="L5" s="18"/>
      <c r="M5" s="18"/>
      <c r="N5" s="18"/>
      <c r="O5" s="18"/>
      <c r="P5" s="18"/>
      <c r="Q5" s="18"/>
      <c r="R5" s="18"/>
      <c r="S5" s="20"/>
    </row>
    <row r="6" spans="1:19" ht="18.75" x14ac:dyDescent="0.3">
      <c r="A6" s="21"/>
      <c r="B6" s="21"/>
      <c r="C6" s="79" t="s">
        <v>1605</v>
      </c>
      <c r="D6" s="79"/>
      <c r="E6" s="79"/>
      <c r="F6" s="21"/>
      <c r="G6" s="21"/>
      <c r="H6" s="21"/>
      <c r="I6" s="21"/>
      <c r="J6" s="21"/>
      <c r="K6" s="22"/>
      <c r="L6" s="21"/>
      <c r="M6" s="21"/>
      <c r="N6" s="79" t="str">
        <f>C6</f>
        <v>Surat Ijin Pemilu</v>
      </c>
      <c r="O6" s="79"/>
      <c r="P6" s="79"/>
      <c r="Q6" s="21"/>
      <c r="R6" s="21"/>
      <c r="S6" s="21"/>
    </row>
    <row r="7" spans="1:19" x14ac:dyDescent="0.25">
      <c r="A7" s="18"/>
      <c r="B7" s="18"/>
      <c r="C7" s="80" t="str" cm="1">
        <f t="array" ref="C7">"No : "&amp;TEXT(INDEX(Sheet1!$A:$A,$J$1),"000")&amp;"/Y.AU/A2.2/5.1446"</f>
        <v>No : 426/Y.AU/A2.2/5.1446</v>
      </c>
      <c r="D7" s="81"/>
      <c r="E7" s="81"/>
      <c r="F7" s="18"/>
      <c r="G7" s="18"/>
      <c r="H7" s="18"/>
      <c r="I7" s="18"/>
      <c r="J7" s="18"/>
      <c r="K7" s="19"/>
      <c r="L7" s="18"/>
      <c r="M7" s="18"/>
      <c r="N7" s="81" t="str" cm="1">
        <f t="array" ref="N7">"No : "&amp;TEXT(INDEX(Sheet1!$A:$A,J1+1),"000")&amp;"/Y.AU/A2.2/5.1446"</f>
        <v>No : 427/Y.AU/A2.2/5.1446</v>
      </c>
      <c r="O7" s="81"/>
      <c r="P7" s="81"/>
      <c r="Q7" s="18"/>
      <c r="R7" s="18"/>
      <c r="S7" s="18"/>
    </row>
    <row r="8" spans="1:19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9"/>
      <c r="L8" s="18"/>
      <c r="M8" s="18"/>
      <c r="N8" s="18"/>
      <c r="O8" s="18"/>
      <c r="P8" s="18"/>
      <c r="Q8" s="18"/>
      <c r="R8" s="18"/>
      <c r="S8" s="18"/>
    </row>
    <row r="9" spans="1:19" x14ac:dyDescent="0.25">
      <c r="A9" s="23"/>
      <c r="B9" s="82" t="s">
        <v>1583</v>
      </c>
      <c r="C9" s="82"/>
      <c r="D9" s="82"/>
      <c r="E9" s="82"/>
      <c r="F9" s="82"/>
      <c r="G9" s="24"/>
      <c r="H9" s="25"/>
      <c r="I9" s="23"/>
      <c r="J9" s="23"/>
      <c r="K9" s="26"/>
      <c r="L9" s="23"/>
      <c r="M9" s="82" t="s">
        <v>1583</v>
      </c>
      <c r="N9" s="82"/>
      <c r="O9" s="82"/>
      <c r="P9" s="82"/>
      <c r="Q9" s="82"/>
      <c r="R9" s="24"/>
      <c r="S9" s="25"/>
    </row>
    <row r="10" spans="1:19" x14ac:dyDescent="0.25">
      <c r="A10" s="23"/>
      <c r="B10" s="25"/>
      <c r="C10" s="27" t="s">
        <v>2</v>
      </c>
      <c r="D10" s="78" t="str" cm="1">
        <f t="array" ref="D10">INDEX(Sheet1!$G:$G,Banin!$J$1)</f>
        <v>Khozen Ainur Rifdi</v>
      </c>
      <c r="E10" s="78"/>
      <c r="F10" s="78"/>
      <c r="G10" s="78"/>
      <c r="H10" s="25"/>
      <c r="I10" s="23"/>
      <c r="J10" s="23"/>
      <c r="K10" s="26"/>
      <c r="L10" s="23"/>
      <c r="M10" s="25"/>
      <c r="N10" s="27" t="s">
        <v>2</v>
      </c>
      <c r="O10" s="78" t="str" cm="1">
        <f t="array" ref="O10">INDEX(Sheet1!$G:$G,$J$1+1)</f>
        <v>Mufti Hakim</v>
      </c>
      <c r="P10" s="78"/>
      <c r="Q10" s="78"/>
      <c r="R10" s="78"/>
      <c r="S10" s="25"/>
    </row>
    <row r="11" spans="1:19" x14ac:dyDescent="0.25">
      <c r="A11" s="23"/>
      <c r="B11" s="25"/>
      <c r="C11" s="27" t="s">
        <v>1584</v>
      </c>
      <c r="D11" s="78" t="str" cm="1">
        <f t="array" ref="D11">INDEX(Sheet1!$L:$L,Banin!$J$1)</f>
        <v>Subairi</v>
      </c>
      <c r="E11" s="78"/>
      <c r="F11" s="78"/>
      <c r="G11" s="78"/>
      <c r="H11" s="25"/>
      <c r="I11" s="23"/>
      <c r="J11" s="23"/>
      <c r="K11" s="26"/>
      <c r="L11" s="23"/>
      <c r="M11" s="25"/>
      <c r="N11" s="27" t="s">
        <v>1584</v>
      </c>
      <c r="O11" s="78" t="str" cm="1">
        <f t="array" ref="O11">INDEX(Sheet1!$L:$L,$J$1+1)</f>
        <v>Tarmo</v>
      </c>
      <c r="P11" s="78"/>
      <c r="Q11" s="78"/>
      <c r="R11" s="78"/>
      <c r="S11" s="25"/>
    </row>
    <row r="12" spans="1:19" x14ac:dyDescent="0.25">
      <c r="A12" s="23"/>
      <c r="B12" s="25"/>
      <c r="C12" s="27" t="s">
        <v>1585</v>
      </c>
      <c r="D12" s="76" t="str" cm="1">
        <f t="array" ref="D12">INDEX(Sheet1!$K:$K,$J$1)</f>
        <v>Sumberkolak-Panarukan-Situbondo</v>
      </c>
      <c r="E12" s="76"/>
      <c r="F12" s="76"/>
      <c r="G12" s="76"/>
      <c r="H12" s="25"/>
      <c r="I12" s="23"/>
      <c r="J12" s="23"/>
      <c r="K12" s="26"/>
      <c r="L12" s="23"/>
      <c r="M12" s="25"/>
      <c r="N12" s="27" t="s">
        <v>1585</v>
      </c>
      <c r="O12" s="76" t="str" cm="1">
        <f t="array" ref="O12">INDEX(Sheet1!$K:$K,$J$1+1)</f>
        <v>Maskuning Wetan Pujer Bondowoso</v>
      </c>
      <c r="P12" s="76"/>
      <c r="Q12" s="76"/>
      <c r="R12" s="76"/>
      <c r="S12" s="25"/>
    </row>
    <row r="13" spans="1:19" x14ac:dyDescent="0.25">
      <c r="A13" s="23"/>
      <c r="B13" s="25"/>
      <c r="C13" s="25"/>
      <c r="D13" s="76"/>
      <c r="E13" s="76"/>
      <c r="F13" s="76"/>
      <c r="G13" s="76"/>
      <c r="H13" s="25"/>
      <c r="I13" s="23"/>
      <c r="J13" s="23"/>
      <c r="K13" s="26"/>
      <c r="L13" s="23"/>
      <c r="M13" s="25"/>
      <c r="N13" s="25"/>
      <c r="O13" s="76"/>
      <c r="P13" s="76"/>
      <c r="Q13" s="76"/>
      <c r="R13" s="76"/>
      <c r="S13" s="25"/>
    </row>
    <row r="14" spans="1:19" x14ac:dyDescent="0.25">
      <c r="A14" s="23"/>
      <c r="B14" s="76" t="s">
        <v>1586</v>
      </c>
      <c r="C14" s="76"/>
      <c r="D14" s="76"/>
      <c r="E14" s="76"/>
      <c r="F14" s="76"/>
      <c r="G14" s="76"/>
      <c r="H14" s="24"/>
      <c r="I14" s="23"/>
      <c r="J14" s="23"/>
      <c r="K14" s="26"/>
      <c r="L14" s="23"/>
      <c r="M14" s="76" t="s">
        <v>1586</v>
      </c>
      <c r="N14" s="76"/>
      <c r="O14" s="76"/>
      <c r="P14" s="76"/>
      <c r="Q14" s="76"/>
      <c r="R14" s="76"/>
      <c r="S14" s="24"/>
    </row>
    <row r="15" spans="1:19" x14ac:dyDescent="0.25">
      <c r="A15" s="23"/>
      <c r="B15" s="25"/>
      <c r="C15" s="27" t="s">
        <v>1587</v>
      </c>
      <c r="D15" s="77" t="s">
        <v>2807</v>
      </c>
      <c r="E15" s="77"/>
      <c r="F15" s="77"/>
      <c r="G15" s="77"/>
      <c r="H15" s="77"/>
      <c r="I15" s="23"/>
      <c r="J15" s="23"/>
      <c r="K15" s="26"/>
      <c r="L15" s="23"/>
      <c r="M15" s="25"/>
      <c r="N15" s="27" t="s">
        <v>1587</v>
      </c>
      <c r="O15" s="77" t="str">
        <f>D15</f>
        <v>Rabu  - 25 Jumadil Ula 1446 H. - 27 November 2024 M.</v>
      </c>
      <c r="P15" s="77"/>
      <c r="Q15" s="77"/>
      <c r="R15" s="77"/>
      <c r="S15" s="77"/>
    </row>
    <row r="16" spans="1:19" x14ac:dyDescent="0.25">
      <c r="A16" s="23"/>
      <c r="B16" s="25"/>
      <c r="C16" s="27" t="s">
        <v>1588</v>
      </c>
      <c r="D16" s="77" t="s">
        <v>1601</v>
      </c>
      <c r="E16" s="77"/>
      <c r="F16" s="77"/>
      <c r="G16" s="77"/>
      <c r="H16" s="77"/>
      <c r="I16" s="23"/>
      <c r="J16" s="23"/>
      <c r="K16" s="26"/>
      <c r="L16" s="23"/>
      <c r="M16" s="25"/>
      <c r="N16" s="27" t="s">
        <v>1588</v>
      </c>
      <c r="O16" s="77" t="str">
        <f>D16</f>
        <v>Kamis - 26 Jumadil Ula 1446 H. - 28 November 2024 M.</v>
      </c>
      <c r="P16" s="77"/>
      <c r="Q16" s="77"/>
      <c r="R16" s="77"/>
      <c r="S16" s="77"/>
    </row>
    <row r="17" spans="1:19" x14ac:dyDescent="0.25">
      <c r="A17" s="23"/>
      <c r="B17" s="25" t="s">
        <v>1589</v>
      </c>
      <c r="C17" s="25"/>
      <c r="D17" s="25"/>
      <c r="E17" s="25"/>
      <c r="F17" s="25"/>
      <c r="G17" s="25"/>
      <c r="H17" s="25"/>
      <c r="I17" s="23"/>
      <c r="J17" s="23"/>
      <c r="K17" s="26"/>
      <c r="L17" s="23"/>
      <c r="M17" s="25" t="s">
        <v>1589</v>
      </c>
      <c r="N17" s="25"/>
      <c r="O17" s="25"/>
      <c r="P17" s="25"/>
      <c r="Q17" s="25"/>
      <c r="R17" s="25"/>
      <c r="S17" s="25"/>
    </row>
    <row r="18" spans="1:19" x14ac:dyDescent="0.25">
      <c r="A18" s="23"/>
      <c r="B18" s="25" t="s">
        <v>1590</v>
      </c>
      <c r="C18" s="25"/>
      <c r="D18" s="25"/>
      <c r="E18" s="25"/>
      <c r="F18" s="25"/>
      <c r="G18" s="25"/>
      <c r="H18" s="25"/>
      <c r="I18" s="23"/>
      <c r="J18" s="23"/>
      <c r="K18" s="26"/>
      <c r="L18" s="23"/>
      <c r="M18" s="25" t="s">
        <v>1590</v>
      </c>
      <c r="N18" s="25"/>
      <c r="O18" s="25"/>
      <c r="P18" s="25"/>
      <c r="Q18" s="25"/>
      <c r="R18" s="25"/>
      <c r="S18" s="25"/>
    </row>
    <row r="19" spans="1:19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6"/>
      <c r="L19" s="23"/>
      <c r="M19" s="23"/>
      <c r="N19" s="23"/>
      <c r="O19" s="23"/>
      <c r="P19" s="23"/>
      <c r="Q19" s="23"/>
      <c r="R19" s="23"/>
      <c r="S19" s="23"/>
    </row>
    <row r="20" spans="1:19" x14ac:dyDescent="0.25">
      <c r="A20" s="23"/>
      <c r="B20" s="23"/>
      <c r="C20" s="71" t="str" cm="1">
        <f t="array" ref="C20">INDEX(Sheet1!$J:$J,$J$1)</f>
        <v>C 11</v>
      </c>
      <c r="D20" s="71"/>
      <c r="E20" s="23"/>
      <c r="F20" s="23"/>
      <c r="G20" s="23"/>
      <c r="H20" s="28" t="s">
        <v>1602</v>
      </c>
      <c r="I20" s="23"/>
      <c r="J20" s="23"/>
      <c r="K20" s="26"/>
      <c r="L20" s="23"/>
      <c r="M20" s="23"/>
      <c r="N20" s="71" t="str" cm="1">
        <f t="array" ref="N20">INDEX(Sheet1!$J:$J,$J$1+1)</f>
        <v>C 15</v>
      </c>
      <c r="O20" s="71"/>
      <c r="P20" s="23"/>
      <c r="Q20" s="23"/>
      <c r="R20" s="23"/>
      <c r="S20" s="28" t="str">
        <f>H20</f>
        <v>Beddian, 22 Jumadil Ula 1446</v>
      </c>
    </row>
    <row r="21" spans="1:19" x14ac:dyDescent="0.25">
      <c r="A21" s="23"/>
      <c r="B21" s="23"/>
      <c r="C21" s="72"/>
      <c r="D21" s="72"/>
      <c r="E21" s="29"/>
      <c r="F21" s="23"/>
      <c r="G21" s="23"/>
      <c r="H21" s="28" t="s">
        <v>1591</v>
      </c>
      <c r="I21" s="23"/>
      <c r="J21" s="23"/>
      <c r="K21" s="26"/>
      <c r="L21" s="23"/>
      <c r="M21" s="23"/>
      <c r="N21" s="72"/>
      <c r="O21" s="72"/>
      <c r="P21" s="29"/>
      <c r="Q21" s="23"/>
      <c r="R21" s="23"/>
      <c r="S21" s="28" t="s">
        <v>1591</v>
      </c>
    </row>
    <row r="22" spans="1:19" x14ac:dyDescent="0.25">
      <c r="A22" s="23"/>
      <c r="B22" s="23"/>
      <c r="C22" s="73" t="str" cm="1">
        <f t="array" ref="C22">INDEX(Sheet1!$E:$E,$J$1)&amp;" ["&amp;INDEX(Sheet1!$D:$D,$J$1)&amp;"]"</f>
        <v>Wustha [3D]</v>
      </c>
      <c r="D22" s="73"/>
      <c r="E22" s="29" t="s">
        <v>1592</v>
      </c>
      <c r="F22" s="23"/>
      <c r="G22" s="23"/>
      <c r="H22" s="25"/>
      <c r="I22" s="23"/>
      <c r="J22" s="23"/>
      <c r="K22" s="26"/>
      <c r="L22" s="23"/>
      <c r="M22" s="23"/>
      <c r="N22" s="73" t="str" cm="1">
        <f t="array" ref="N22">INDEX(Sheet1!$E:$E,$J$1+1)&amp;" ["&amp;INDEX(Sheet1!$D:$D,$J$1+1)&amp;"]"</f>
        <v>Wustha [1A]</v>
      </c>
      <c r="O22" s="73"/>
      <c r="P22" s="29" t="s">
        <v>1592</v>
      </c>
      <c r="Q22" s="23"/>
      <c r="R22" s="23"/>
      <c r="S22" s="25"/>
    </row>
    <row r="23" spans="1:19" x14ac:dyDescent="0.25">
      <c r="A23" s="23"/>
      <c r="B23" s="23"/>
      <c r="C23" s="74"/>
      <c r="D23" s="74"/>
      <c r="E23" s="23"/>
      <c r="F23" s="23"/>
      <c r="G23" s="23"/>
      <c r="H23" s="25"/>
      <c r="I23" s="23"/>
      <c r="J23" s="23"/>
      <c r="K23" s="26"/>
      <c r="L23" s="23"/>
      <c r="M23" s="23"/>
      <c r="N23" s="74"/>
      <c r="O23" s="74"/>
      <c r="P23" s="23"/>
      <c r="Q23" s="23"/>
      <c r="R23" s="23"/>
      <c r="S23" s="25"/>
    </row>
    <row r="24" spans="1:19" x14ac:dyDescent="0.25">
      <c r="A24" s="23"/>
      <c r="B24" s="23"/>
      <c r="C24" s="75"/>
      <c r="D24" s="75"/>
      <c r="E24" s="23"/>
      <c r="F24" s="23"/>
      <c r="G24" s="23"/>
      <c r="H24" s="25"/>
      <c r="I24" s="23"/>
      <c r="J24" s="23"/>
      <c r="K24" s="26"/>
      <c r="L24" s="23"/>
      <c r="M24" s="23"/>
      <c r="N24" s="75"/>
      <c r="O24" s="75"/>
      <c r="P24" s="23"/>
      <c r="Q24" s="23"/>
      <c r="R24" s="23"/>
      <c r="S24" s="25"/>
    </row>
    <row r="25" spans="1:19" x14ac:dyDescent="0.25">
      <c r="A25" s="23"/>
      <c r="B25" s="23"/>
      <c r="C25" s="23"/>
      <c r="D25" s="23" t="s">
        <v>92</v>
      </c>
      <c r="E25" s="23"/>
      <c r="F25" s="23"/>
      <c r="G25" s="23"/>
      <c r="H25" s="28" t="s">
        <v>1593</v>
      </c>
      <c r="I25" s="23"/>
      <c r="J25" s="23"/>
      <c r="K25" s="26"/>
      <c r="L25" s="23"/>
      <c r="M25" s="23"/>
      <c r="N25" s="23"/>
      <c r="O25" s="23"/>
      <c r="P25" s="23"/>
      <c r="Q25" s="23"/>
      <c r="R25" s="23"/>
      <c r="S25" s="28" t="s">
        <v>1593</v>
      </c>
    </row>
    <row r="26" spans="1:19" x14ac:dyDescent="0.25">
      <c r="A26" s="23"/>
      <c r="B26" s="23"/>
      <c r="C26" s="23"/>
      <c r="D26" s="23"/>
      <c r="E26" s="23"/>
      <c r="F26" s="23"/>
      <c r="G26" s="23"/>
      <c r="H26" s="28"/>
      <c r="I26" s="23"/>
      <c r="J26" s="23"/>
      <c r="K26" s="26"/>
      <c r="L26" s="23"/>
      <c r="M26" s="23"/>
      <c r="N26" s="23"/>
      <c r="O26" s="23"/>
      <c r="P26" s="23"/>
      <c r="Q26" s="23"/>
      <c r="R26" s="23"/>
      <c r="S26" s="28"/>
    </row>
    <row r="27" spans="1:19" ht="22.5" customHeight="1" x14ac:dyDescent="0.25">
      <c r="A27" s="23"/>
      <c r="B27" s="23"/>
      <c r="C27" s="23"/>
      <c r="D27" s="23"/>
      <c r="E27" s="23"/>
      <c r="F27" s="23"/>
      <c r="G27" s="23"/>
      <c r="H27" s="28"/>
      <c r="I27" s="23"/>
      <c r="J27" s="23"/>
      <c r="K27" s="26"/>
      <c r="L27" s="23"/>
      <c r="M27" s="23"/>
      <c r="N27" s="23"/>
      <c r="O27" s="23"/>
      <c r="P27" s="23"/>
      <c r="Q27" s="23"/>
      <c r="R27" s="23"/>
      <c r="S27" s="28"/>
    </row>
    <row r="28" spans="1:19" x14ac:dyDescent="0.25">
      <c r="A28" s="23"/>
      <c r="B28" s="23"/>
      <c r="C28" s="23"/>
      <c r="D28" s="23"/>
      <c r="E28" s="23"/>
      <c r="F28" s="23"/>
      <c r="G28" s="23"/>
      <c r="H28" s="28"/>
      <c r="I28" s="23"/>
      <c r="J28" s="23"/>
      <c r="K28" s="26"/>
      <c r="L28" s="23"/>
      <c r="M28" s="23"/>
      <c r="N28" s="23"/>
      <c r="O28" s="23"/>
      <c r="P28" s="23"/>
      <c r="Q28" s="23"/>
      <c r="R28" s="23"/>
      <c r="S28" s="28"/>
    </row>
    <row r="29" spans="1:19" ht="9" customHeight="1" x14ac:dyDescent="0.25">
      <c r="A29" s="23"/>
      <c r="B29" s="23"/>
      <c r="C29" s="23"/>
      <c r="D29" s="23"/>
      <c r="E29" s="23"/>
      <c r="F29" s="23"/>
      <c r="G29" s="23"/>
      <c r="H29" s="28"/>
      <c r="I29" s="23"/>
      <c r="J29" s="23"/>
      <c r="K29" s="26"/>
      <c r="L29" s="23"/>
      <c r="M29" s="23"/>
      <c r="N29" s="23"/>
      <c r="O29" s="23"/>
      <c r="P29" s="23"/>
      <c r="Q29" s="23"/>
      <c r="R29" s="23"/>
      <c r="S29" s="28"/>
    </row>
    <row r="30" spans="1:19" ht="26.25" customHeight="1" x14ac:dyDescent="0.25">
      <c r="A30" s="30"/>
      <c r="B30" s="30"/>
      <c r="C30" s="31" t="s">
        <v>1594</v>
      </c>
      <c r="D30" s="70" t="s">
        <v>1603</v>
      </c>
      <c r="E30" s="70"/>
      <c r="F30" s="70"/>
      <c r="G30" s="70"/>
      <c r="H30" s="70"/>
      <c r="I30" s="30"/>
      <c r="J30" s="30"/>
      <c r="K30" s="32"/>
      <c r="L30" s="30"/>
      <c r="M30" s="30"/>
      <c r="N30" s="31" t="s">
        <v>1594</v>
      </c>
      <c r="O30" s="70" t="s">
        <v>1603</v>
      </c>
      <c r="P30" s="70"/>
      <c r="Q30" s="70"/>
      <c r="R30" s="70"/>
      <c r="S30" s="70"/>
    </row>
    <row r="31" spans="1:19" ht="25.5" customHeight="1" x14ac:dyDescent="0.25">
      <c r="A31" s="30"/>
      <c r="B31" s="30"/>
      <c r="C31" s="31" t="s">
        <v>1595</v>
      </c>
      <c r="D31" s="70" t="s">
        <v>1596</v>
      </c>
      <c r="E31" s="70"/>
      <c r="F31" s="70"/>
      <c r="G31" s="70"/>
      <c r="H31" s="70"/>
      <c r="I31" s="30"/>
      <c r="J31" s="30"/>
      <c r="K31" s="32"/>
      <c r="L31" s="30"/>
      <c r="M31" s="30"/>
      <c r="N31" s="31" t="s">
        <v>1595</v>
      </c>
      <c r="O31" s="70" t="s">
        <v>1596</v>
      </c>
      <c r="P31" s="70"/>
      <c r="Q31" s="70"/>
      <c r="R31" s="70"/>
      <c r="S31" s="70"/>
    </row>
    <row r="32" spans="1:19" ht="33.75" customHeight="1" x14ac:dyDescent="0.25">
      <c r="A32" s="30"/>
      <c r="B32" s="30"/>
      <c r="C32" s="31" t="s">
        <v>1597</v>
      </c>
      <c r="D32" s="70" t="s">
        <v>1598</v>
      </c>
      <c r="E32" s="70"/>
      <c r="F32" s="70"/>
      <c r="G32" s="70"/>
      <c r="H32" s="70"/>
      <c r="I32" s="30"/>
      <c r="J32" s="30"/>
      <c r="K32" s="32"/>
      <c r="L32" s="30"/>
      <c r="M32" s="30"/>
      <c r="N32" s="31" t="s">
        <v>1597</v>
      </c>
      <c r="O32" s="70" t="s">
        <v>1598</v>
      </c>
      <c r="P32" s="70"/>
      <c r="Q32" s="70"/>
      <c r="R32" s="70"/>
      <c r="S32" s="70"/>
    </row>
    <row r="33" spans="3:15" x14ac:dyDescent="0.25">
      <c r="C33" s="31" t="s">
        <v>1599</v>
      </c>
      <c r="D33" s="34" t="s">
        <v>1604</v>
      </c>
      <c r="N33" s="31" t="s">
        <v>1599</v>
      </c>
      <c r="O33" s="34" t="s">
        <v>1604</v>
      </c>
    </row>
  </sheetData>
  <mergeCells count="30">
    <mergeCell ref="C6:E6"/>
    <mergeCell ref="N6:P6"/>
    <mergeCell ref="C7:E7"/>
    <mergeCell ref="N7:P7"/>
    <mergeCell ref="B9:F9"/>
    <mergeCell ref="M9:Q9"/>
    <mergeCell ref="D10:G10"/>
    <mergeCell ref="O10:R10"/>
    <mergeCell ref="D11:G11"/>
    <mergeCell ref="O11:R11"/>
    <mergeCell ref="D12:G13"/>
    <mergeCell ref="O12:R13"/>
    <mergeCell ref="B14:G14"/>
    <mergeCell ref="M14:R14"/>
    <mergeCell ref="D15:H15"/>
    <mergeCell ref="O15:S15"/>
    <mergeCell ref="D16:H16"/>
    <mergeCell ref="O16:S16"/>
    <mergeCell ref="C20:D21"/>
    <mergeCell ref="N20:O21"/>
    <mergeCell ref="C22:D23"/>
    <mergeCell ref="N22:O23"/>
    <mergeCell ref="C24:D24"/>
    <mergeCell ref="N24:O24"/>
    <mergeCell ref="D30:H30"/>
    <mergeCell ref="O30:S30"/>
    <mergeCell ref="D31:H31"/>
    <mergeCell ref="O31:S31"/>
    <mergeCell ref="D32:H32"/>
    <mergeCell ref="O32:S32"/>
  </mergeCells>
  <pageMargins left="0.23622047244094491" right="0.23622047244094491" top="0.39370078740157483" bottom="0" header="0.19685039370078741" footer="0"/>
  <pageSetup paperSize="10000" orientation="landscape" horizontalDpi="0" verticalDpi="0" r:id="rId1"/>
  <headerFooter>
    <oddHeader>&amp;L&amp;G&amp;R&amp;G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EB1B7-3959-4E12-BB48-760E4911568C}">
  <sheetPr codeName="Sheet5"/>
  <dimension ref="A1:L282"/>
  <sheetViews>
    <sheetView topLeftCell="A255" workbookViewId="0">
      <selection activeCell="B287" sqref="B287"/>
    </sheetView>
  </sheetViews>
  <sheetFormatPr defaultRowHeight="15" x14ac:dyDescent="0.25"/>
  <cols>
    <col min="2" max="2" width="26" bestFit="1" customWidth="1"/>
    <col min="3" max="3" width="16.28515625" bestFit="1" customWidth="1"/>
    <col min="4" max="4" width="11.85546875" bestFit="1" customWidth="1"/>
    <col min="5" max="5" width="10.7109375" bestFit="1" customWidth="1"/>
    <col min="6" max="6" width="33.28515625" bestFit="1" customWidth="1"/>
    <col min="7" max="7" width="41.7109375" bestFit="1" customWidth="1"/>
    <col min="8" max="8" width="24.85546875" bestFit="1" customWidth="1"/>
    <col min="9" max="9" width="19.5703125" bestFit="1" customWidth="1"/>
    <col min="10" max="10" width="7.28515625" bestFit="1" customWidth="1"/>
    <col min="11" max="11" width="27.5703125" bestFit="1" customWidth="1"/>
  </cols>
  <sheetData>
    <row r="1" spans="1:12" x14ac:dyDescent="0.25">
      <c r="A1" s="35" t="s">
        <v>1606</v>
      </c>
      <c r="B1" s="35" t="s">
        <v>1607</v>
      </c>
      <c r="C1" s="35" t="s">
        <v>1608</v>
      </c>
      <c r="D1" s="35" t="s">
        <v>1609</v>
      </c>
      <c r="E1" s="35" t="s">
        <v>1610</v>
      </c>
      <c r="F1" s="35" t="s">
        <v>1611</v>
      </c>
      <c r="G1" s="35" t="s">
        <v>1612</v>
      </c>
      <c r="H1" s="35" t="s">
        <v>1613</v>
      </c>
      <c r="I1" s="35" t="s">
        <v>1614</v>
      </c>
      <c r="J1" s="35" t="s">
        <v>1615</v>
      </c>
      <c r="K1" s="35" t="s">
        <v>1616</v>
      </c>
      <c r="L1" s="55" t="s">
        <v>2137</v>
      </c>
    </row>
    <row r="2" spans="1:12" x14ac:dyDescent="0.25">
      <c r="A2" s="1">
        <v>2</v>
      </c>
      <c r="B2" s="42" t="s">
        <v>1620</v>
      </c>
      <c r="C2" s="45" t="s">
        <v>10</v>
      </c>
      <c r="D2" s="45" t="s">
        <v>1621</v>
      </c>
      <c r="E2" s="45" t="s">
        <v>1618</v>
      </c>
      <c r="F2" s="42" t="s">
        <v>1622</v>
      </c>
      <c r="G2" s="42" t="s">
        <v>1623</v>
      </c>
      <c r="H2" s="42" t="s">
        <v>649</v>
      </c>
      <c r="I2" s="42" t="s">
        <v>93</v>
      </c>
      <c r="J2" s="42"/>
      <c r="K2" s="42"/>
      <c r="L2" s="49" t="s">
        <v>13</v>
      </c>
    </row>
    <row r="3" spans="1:12" x14ac:dyDescent="0.25">
      <c r="A3" s="1">
        <v>4</v>
      </c>
      <c r="B3" s="42" t="s">
        <v>1625</v>
      </c>
      <c r="C3" s="45" t="s">
        <v>10</v>
      </c>
      <c r="D3" s="45" t="s">
        <v>1621</v>
      </c>
      <c r="E3" s="45" t="s">
        <v>1618</v>
      </c>
      <c r="F3" s="42" t="s">
        <v>1626</v>
      </c>
      <c r="G3" s="42" t="s">
        <v>1627</v>
      </c>
      <c r="H3" s="42" t="s">
        <v>1628</v>
      </c>
      <c r="I3" s="42" t="s">
        <v>1629</v>
      </c>
      <c r="J3" s="42"/>
      <c r="K3" s="42"/>
      <c r="L3" s="49" t="s">
        <v>13</v>
      </c>
    </row>
    <row r="4" spans="1:12" x14ac:dyDescent="0.25">
      <c r="A4" s="1">
        <v>7</v>
      </c>
      <c r="B4" s="42" t="s">
        <v>1633</v>
      </c>
      <c r="C4" s="45" t="s">
        <v>10</v>
      </c>
      <c r="D4" s="45" t="s">
        <v>1634</v>
      </c>
      <c r="E4" s="45" t="s">
        <v>1618</v>
      </c>
      <c r="F4" s="42" t="s">
        <v>1635</v>
      </c>
      <c r="G4" s="42" t="s">
        <v>1636</v>
      </c>
      <c r="H4" s="42" t="s">
        <v>649</v>
      </c>
      <c r="I4" s="42" t="s">
        <v>1637</v>
      </c>
      <c r="J4" s="42"/>
      <c r="K4" s="42"/>
      <c r="L4" s="49" t="s">
        <v>13</v>
      </c>
    </row>
    <row r="5" spans="1:12" x14ac:dyDescent="0.25">
      <c r="A5" s="1">
        <v>9</v>
      </c>
      <c r="B5" s="42" t="s">
        <v>1638</v>
      </c>
      <c r="C5" s="45" t="s">
        <v>10</v>
      </c>
      <c r="D5" s="45" t="s">
        <v>1639</v>
      </c>
      <c r="E5" s="45" t="s">
        <v>1618</v>
      </c>
      <c r="F5" s="42" t="s">
        <v>1640</v>
      </c>
      <c r="G5" s="42" t="s">
        <v>1632</v>
      </c>
      <c r="H5" s="42" t="s">
        <v>1641</v>
      </c>
      <c r="I5" s="42" t="s">
        <v>1642</v>
      </c>
      <c r="J5" s="42"/>
      <c r="K5" s="42"/>
      <c r="L5" s="49" t="s">
        <v>13</v>
      </c>
    </row>
    <row r="6" spans="1:12" x14ac:dyDescent="0.25">
      <c r="A6" s="1">
        <v>12</v>
      </c>
      <c r="B6" s="42" t="s">
        <v>1646</v>
      </c>
      <c r="C6" s="45" t="s">
        <v>10</v>
      </c>
      <c r="D6" s="45" t="s">
        <v>1643</v>
      </c>
      <c r="E6" s="45" t="s">
        <v>1618</v>
      </c>
      <c r="F6" s="42" t="s">
        <v>1647</v>
      </c>
      <c r="G6" s="42" t="s">
        <v>1648</v>
      </c>
      <c r="H6" s="42" t="s">
        <v>1649</v>
      </c>
      <c r="I6" s="42" t="s">
        <v>1650</v>
      </c>
      <c r="J6" s="42"/>
      <c r="K6" s="42"/>
      <c r="L6" s="49" t="s">
        <v>13</v>
      </c>
    </row>
    <row r="7" spans="1:12" x14ac:dyDescent="0.25">
      <c r="A7" s="1">
        <v>14</v>
      </c>
      <c r="B7" s="42" t="s">
        <v>1651</v>
      </c>
      <c r="C7" s="45" t="s">
        <v>10</v>
      </c>
      <c r="D7" s="45" t="s">
        <v>1652</v>
      </c>
      <c r="E7" s="45" t="s">
        <v>1618</v>
      </c>
      <c r="F7" s="42" t="s">
        <v>1653</v>
      </c>
      <c r="G7" s="42" t="s">
        <v>1654</v>
      </c>
      <c r="H7" s="42" t="s">
        <v>1655</v>
      </c>
      <c r="I7" s="42" t="s">
        <v>1656</v>
      </c>
      <c r="J7" s="42"/>
      <c r="K7" s="42"/>
      <c r="L7" s="49" t="s">
        <v>13</v>
      </c>
    </row>
    <row r="8" spans="1:12" x14ac:dyDescent="0.25">
      <c r="A8" s="1">
        <v>17</v>
      </c>
      <c r="B8" s="8" t="s">
        <v>1659</v>
      </c>
      <c r="C8" s="36" t="s">
        <v>10</v>
      </c>
      <c r="D8" s="36" t="s">
        <v>1621</v>
      </c>
      <c r="E8" s="37" t="s">
        <v>1658</v>
      </c>
      <c r="F8" s="8" t="s">
        <v>1660</v>
      </c>
      <c r="G8" s="8" t="s">
        <v>1619</v>
      </c>
      <c r="H8" s="8"/>
      <c r="I8" s="8"/>
      <c r="J8" s="8"/>
      <c r="K8" s="38"/>
      <c r="L8" s="49" t="s">
        <v>13</v>
      </c>
    </row>
    <row r="9" spans="1:12" x14ac:dyDescent="0.25">
      <c r="A9" s="1">
        <v>19</v>
      </c>
      <c r="B9" s="8" t="s">
        <v>1661</v>
      </c>
      <c r="C9" s="36" t="s">
        <v>10</v>
      </c>
      <c r="D9" s="36" t="s">
        <v>1634</v>
      </c>
      <c r="E9" s="37" t="s">
        <v>1658</v>
      </c>
      <c r="F9" s="8" t="s">
        <v>1662</v>
      </c>
      <c r="G9" s="8" t="s">
        <v>1663</v>
      </c>
      <c r="H9" s="8"/>
      <c r="I9" s="8"/>
      <c r="J9" s="8"/>
      <c r="K9" s="38"/>
      <c r="L9" s="49" t="s">
        <v>13</v>
      </c>
    </row>
    <row r="10" spans="1:12" x14ac:dyDescent="0.25">
      <c r="A10" s="1">
        <v>22</v>
      </c>
      <c r="B10" s="8" t="s">
        <v>1665</v>
      </c>
      <c r="C10" s="36" t="s">
        <v>10</v>
      </c>
      <c r="D10" s="36" t="s">
        <v>1657</v>
      </c>
      <c r="E10" s="37" t="s">
        <v>1658</v>
      </c>
      <c r="F10" s="8" t="s">
        <v>1666</v>
      </c>
      <c r="G10" s="8" t="s">
        <v>1664</v>
      </c>
      <c r="H10" s="8"/>
      <c r="I10" s="8"/>
      <c r="J10" s="8"/>
      <c r="K10" s="38"/>
      <c r="L10" s="49" t="s">
        <v>13</v>
      </c>
    </row>
    <row r="11" spans="1:12" x14ac:dyDescent="0.25">
      <c r="A11" s="1">
        <v>24</v>
      </c>
      <c r="B11" s="42" t="s">
        <v>1668</v>
      </c>
      <c r="C11" s="45" t="s">
        <v>10</v>
      </c>
      <c r="D11" s="45" t="s">
        <v>1621</v>
      </c>
      <c r="E11" s="45" t="s">
        <v>1669</v>
      </c>
      <c r="F11" s="44" t="s">
        <v>1670</v>
      </c>
      <c r="G11" s="44" t="s">
        <v>1671</v>
      </c>
      <c r="H11" s="44" t="s">
        <v>1672</v>
      </c>
      <c r="I11" s="44" t="s">
        <v>1673</v>
      </c>
      <c r="J11" s="44"/>
      <c r="K11" s="44"/>
      <c r="L11" s="49" t="s">
        <v>13</v>
      </c>
    </row>
    <row r="12" spans="1:12" x14ac:dyDescent="0.25">
      <c r="A12" s="1">
        <v>27</v>
      </c>
      <c r="B12" s="42" t="s">
        <v>1675</v>
      </c>
      <c r="C12" s="45" t="s">
        <v>10</v>
      </c>
      <c r="D12" s="45" t="s">
        <v>1643</v>
      </c>
      <c r="E12" s="45" t="s">
        <v>1669</v>
      </c>
      <c r="F12" s="44" t="s">
        <v>1676</v>
      </c>
      <c r="G12" s="44" t="s">
        <v>1677</v>
      </c>
      <c r="H12" s="44" t="s">
        <v>1678</v>
      </c>
      <c r="I12" s="44" t="s">
        <v>1679</v>
      </c>
      <c r="J12" s="44"/>
      <c r="K12" s="44"/>
      <c r="L12" s="49" t="s">
        <v>13</v>
      </c>
    </row>
    <row r="13" spans="1:12" x14ac:dyDescent="0.25">
      <c r="A13" s="1">
        <v>29</v>
      </c>
      <c r="B13" s="42" t="s">
        <v>1680</v>
      </c>
      <c r="C13" s="45" t="s">
        <v>10</v>
      </c>
      <c r="D13" s="45" t="s">
        <v>1643</v>
      </c>
      <c r="E13" s="45" t="s">
        <v>1669</v>
      </c>
      <c r="F13" s="44" t="s">
        <v>1681</v>
      </c>
      <c r="G13" s="44" t="s">
        <v>1671</v>
      </c>
      <c r="H13" s="44" t="s">
        <v>1682</v>
      </c>
      <c r="I13" s="44" t="s">
        <v>1683</v>
      </c>
      <c r="J13" s="44"/>
      <c r="K13" s="44"/>
      <c r="L13" s="49" t="s">
        <v>13</v>
      </c>
    </row>
    <row r="14" spans="1:12" x14ac:dyDescent="0.25">
      <c r="A14" s="1">
        <v>32</v>
      </c>
      <c r="B14" s="42" t="s">
        <v>1685</v>
      </c>
      <c r="C14" s="45" t="s">
        <v>10</v>
      </c>
      <c r="D14" s="45" t="s">
        <v>1634</v>
      </c>
      <c r="E14" s="45" t="s">
        <v>1669</v>
      </c>
      <c r="F14" s="44" t="s">
        <v>1686</v>
      </c>
      <c r="G14" s="44" t="s">
        <v>1687</v>
      </c>
      <c r="H14" s="44" t="s">
        <v>1688</v>
      </c>
      <c r="I14" s="44" t="s">
        <v>1689</v>
      </c>
      <c r="J14" s="44"/>
      <c r="K14" s="44"/>
      <c r="L14" s="49" t="s">
        <v>13</v>
      </c>
    </row>
    <row r="15" spans="1:12" x14ac:dyDescent="0.25">
      <c r="A15" s="1">
        <v>34</v>
      </c>
      <c r="B15" s="42" t="s">
        <v>1692</v>
      </c>
      <c r="C15" s="45" t="s">
        <v>10</v>
      </c>
      <c r="D15" s="45" t="s">
        <v>1624</v>
      </c>
      <c r="E15" s="45" t="s">
        <v>1691</v>
      </c>
      <c r="F15" s="42" t="s">
        <v>1693</v>
      </c>
      <c r="G15" s="42" t="s">
        <v>1694</v>
      </c>
      <c r="H15" s="42" t="s">
        <v>1695</v>
      </c>
      <c r="I15" s="42" t="s">
        <v>1696</v>
      </c>
      <c r="J15" s="42"/>
      <c r="K15" s="44"/>
      <c r="L15" s="49" t="s">
        <v>13</v>
      </c>
    </row>
    <row r="16" spans="1:12" x14ac:dyDescent="0.25">
      <c r="A16" s="1">
        <v>37</v>
      </c>
      <c r="B16" s="42" t="s">
        <v>1699</v>
      </c>
      <c r="C16" s="45" t="s">
        <v>10</v>
      </c>
      <c r="D16" s="45" t="s">
        <v>1700</v>
      </c>
      <c r="E16" s="45" t="s">
        <v>1691</v>
      </c>
      <c r="F16" s="42" t="s">
        <v>1701</v>
      </c>
      <c r="G16" s="42" t="s">
        <v>1636</v>
      </c>
      <c r="H16" s="42" t="s">
        <v>1702</v>
      </c>
      <c r="I16" s="42" t="s">
        <v>196</v>
      </c>
      <c r="J16" s="42"/>
      <c r="K16" s="44"/>
      <c r="L16" s="49" t="s">
        <v>13</v>
      </c>
    </row>
    <row r="17" spans="1:12" x14ac:dyDescent="0.25">
      <c r="A17" s="1">
        <v>39</v>
      </c>
      <c r="B17" s="42" t="s">
        <v>1704</v>
      </c>
      <c r="C17" s="45" t="s">
        <v>10</v>
      </c>
      <c r="D17" s="45" t="s">
        <v>1705</v>
      </c>
      <c r="E17" s="45" t="s">
        <v>1691</v>
      </c>
      <c r="F17" s="42" t="s">
        <v>1706</v>
      </c>
      <c r="G17" s="42" t="s">
        <v>1698</v>
      </c>
      <c r="H17" s="42" t="s">
        <v>1707</v>
      </c>
      <c r="I17" s="42" t="s">
        <v>1708</v>
      </c>
      <c r="J17" s="42"/>
      <c r="K17" s="44"/>
      <c r="L17" s="49" t="s">
        <v>13</v>
      </c>
    </row>
    <row r="18" spans="1:12" x14ac:dyDescent="0.25">
      <c r="A18" s="1">
        <v>42</v>
      </c>
      <c r="B18" s="42" t="s">
        <v>1711</v>
      </c>
      <c r="C18" s="45" t="s">
        <v>10</v>
      </c>
      <c r="D18" s="45" t="s">
        <v>1712</v>
      </c>
      <c r="E18" s="45" t="s">
        <v>1691</v>
      </c>
      <c r="F18" s="42" t="s">
        <v>1713</v>
      </c>
      <c r="G18" s="42" t="s">
        <v>1694</v>
      </c>
      <c r="H18" s="42" t="s">
        <v>1714</v>
      </c>
      <c r="I18" s="42" t="s">
        <v>1715</v>
      </c>
      <c r="J18" s="42"/>
      <c r="K18" s="44"/>
      <c r="L18" s="49" t="s">
        <v>13</v>
      </c>
    </row>
    <row r="19" spans="1:12" x14ac:dyDescent="0.25">
      <c r="A19" s="1">
        <v>44</v>
      </c>
      <c r="B19" s="42" t="s">
        <v>1716</v>
      </c>
      <c r="C19" s="45" t="s">
        <v>10</v>
      </c>
      <c r="D19" s="45" t="s">
        <v>1617</v>
      </c>
      <c r="E19" s="45" t="s">
        <v>1717</v>
      </c>
      <c r="F19" s="42" t="s">
        <v>1718</v>
      </c>
      <c r="G19" s="42" t="s">
        <v>1719</v>
      </c>
      <c r="H19" s="42" t="s">
        <v>1720</v>
      </c>
      <c r="I19" s="42" t="s">
        <v>1721</v>
      </c>
      <c r="J19" s="42"/>
      <c r="K19" s="44"/>
      <c r="L19" s="49" t="s">
        <v>13</v>
      </c>
    </row>
    <row r="20" spans="1:12" x14ac:dyDescent="0.25">
      <c r="A20" s="1">
        <v>47</v>
      </c>
      <c r="B20" s="42" t="s">
        <v>1725</v>
      </c>
      <c r="C20" s="45" t="s">
        <v>10</v>
      </c>
      <c r="D20" s="45" t="s">
        <v>1634</v>
      </c>
      <c r="E20" s="45" t="s">
        <v>1717</v>
      </c>
      <c r="F20" s="42" t="s">
        <v>1726</v>
      </c>
      <c r="G20" s="42" t="s">
        <v>1727</v>
      </c>
      <c r="H20" s="42" t="s">
        <v>818</v>
      </c>
      <c r="I20" s="42"/>
      <c r="J20" s="42"/>
      <c r="K20" s="44"/>
      <c r="L20" s="49" t="s">
        <v>13</v>
      </c>
    </row>
    <row r="21" spans="1:12" x14ac:dyDescent="0.25">
      <c r="A21" s="1">
        <v>49</v>
      </c>
      <c r="B21" s="42" t="s">
        <v>536</v>
      </c>
      <c r="C21" s="45" t="s">
        <v>10</v>
      </c>
      <c r="D21" s="45" t="s">
        <v>1624</v>
      </c>
      <c r="E21" s="45" t="s">
        <v>1728</v>
      </c>
      <c r="F21" s="42" t="s">
        <v>1729</v>
      </c>
      <c r="G21" s="42" t="s">
        <v>1730</v>
      </c>
      <c r="H21" s="42" t="s">
        <v>1731</v>
      </c>
      <c r="I21" s="42" t="s">
        <v>1732</v>
      </c>
      <c r="J21" s="42"/>
      <c r="K21" s="44"/>
      <c r="L21" s="49" t="s">
        <v>13</v>
      </c>
    </row>
    <row r="22" spans="1:12" x14ac:dyDescent="0.25">
      <c r="A22" s="1">
        <v>52</v>
      </c>
      <c r="B22" s="42" t="s">
        <v>1734</v>
      </c>
      <c r="C22" s="45" t="s">
        <v>10</v>
      </c>
      <c r="D22" s="45" t="s">
        <v>1634</v>
      </c>
      <c r="E22" s="45" t="s">
        <v>1728</v>
      </c>
      <c r="F22" s="42" t="s">
        <v>1735</v>
      </c>
      <c r="G22" s="42" t="s">
        <v>1710</v>
      </c>
      <c r="H22" s="42" t="s">
        <v>1736</v>
      </c>
      <c r="I22" s="42" t="s">
        <v>1737</v>
      </c>
      <c r="J22" s="42"/>
      <c r="K22" s="44" t="s">
        <v>1738</v>
      </c>
      <c r="L22" s="49" t="s">
        <v>13</v>
      </c>
    </row>
    <row r="23" spans="1:12" x14ac:dyDescent="0.25">
      <c r="A23" s="1">
        <v>54</v>
      </c>
      <c r="B23" s="42" t="s">
        <v>1739</v>
      </c>
      <c r="C23" s="45" t="s">
        <v>10</v>
      </c>
      <c r="D23" s="45" t="s">
        <v>1634</v>
      </c>
      <c r="E23" s="45" t="s">
        <v>1728</v>
      </c>
      <c r="F23" s="42" t="s">
        <v>1740</v>
      </c>
      <c r="G23" s="42" t="s">
        <v>1730</v>
      </c>
      <c r="H23" s="42" t="s">
        <v>1741</v>
      </c>
      <c r="I23" s="42" t="s">
        <v>1742</v>
      </c>
      <c r="J23" s="42"/>
      <c r="K23" s="44"/>
      <c r="L23" s="49" t="s">
        <v>13</v>
      </c>
    </row>
    <row r="24" spans="1:12" x14ac:dyDescent="0.25">
      <c r="A24" s="1">
        <v>57</v>
      </c>
      <c r="B24" s="8" t="s">
        <v>1347</v>
      </c>
      <c r="C24" s="36" t="s">
        <v>10</v>
      </c>
      <c r="D24" s="36" t="s">
        <v>1634</v>
      </c>
      <c r="E24" s="37" t="s">
        <v>1728</v>
      </c>
      <c r="F24" s="8" t="s">
        <v>1744</v>
      </c>
      <c r="G24" s="8" t="s">
        <v>1745</v>
      </c>
      <c r="H24" s="8"/>
      <c r="I24" s="8"/>
      <c r="J24" s="8"/>
      <c r="K24" s="38"/>
      <c r="L24" s="49" t="s">
        <v>13</v>
      </c>
    </row>
    <row r="25" spans="1:12" x14ac:dyDescent="0.25">
      <c r="A25" s="1">
        <v>59</v>
      </c>
      <c r="B25" s="42" t="s">
        <v>1747</v>
      </c>
      <c r="C25" s="45" t="s">
        <v>10</v>
      </c>
      <c r="D25" s="45" t="s">
        <v>1621</v>
      </c>
      <c r="E25" s="45" t="s">
        <v>1728</v>
      </c>
      <c r="F25" s="42" t="s">
        <v>1748</v>
      </c>
      <c r="G25" s="42" t="s">
        <v>1746</v>
      </c>
      <c r="H25" s="42" t="s">
        <v>1749</v>
      </c>
      <c r="I25" s="42" t="s">
        <v>1750</v>
      </c>
      <c r="J25" s="42"/>
      <c r="K25" s="44"/>
      <c r="L25" s="49" t="s">
        <v>13</v>
      </c>
    </row>
    <row r="26" spans="1:12" x14ac:dyDescent="0.25">
      <c r="A26" s="1">
        <v>62</v>
      </c>
      <c r="B26" s="42" t="s">
        <v>1753</v>
      </c>
      <c r="C26" s="45" t="s">
        <v>10</v>
      </c>
      <c r="D26" s="45" t="s">
        <v>1754</v>
      </c>
      <c r="E26" s="45" t="s">
        <v>1751</v>
      </c>
      <c r="F26" s="42" t="s">
        <v>1755</v>
      </c>
      <c r="G26" s="42" t="s">
        <v>1752</v>
      </c>
      <c r="H26" s="42" t="s">
        <v>1756</v>
      </c>
      <c r="I26" s="42" t="s">
        <v>1757</v>
      </c>
      <c r="J26" s="42"/>
      <c r="K26" s="44"/>
      <c r="L26" s="49" t="s">
        <v>13</v>
      </c>
    </row>
    <row r="27" spans="1:12" x14ac:dyDescent="0.25">
      <c r="A27" s="1">
        <v>64</v>
      </c>
      <c r="B27" s="42" t="s">
        <v>1758</v>
      </c>
      <c r="C27" s="45" t="s">
        <v>10</v>
      </c>
      <c r="D27" s="45" t="s">
        <v>1722</v>
      </c>
      <c r="E27" s="45" t="s">
        <v>1751</v>
      </c>
      <c r="F27" s="42" t="s">
        <v>1759</v>
      </c>
      <c r="G27" s="42" t="s">
        <v>1760</v>
      </c>
      <c r="H27" s="42" t="s">
        <v>563</v>
      </c>
      <c r="I27" s="42" t="s">
        <v>1761</v>
      </c>
      <c r="J27" s="42"/>
      <c r="K27" s="44"/>
      <c r="L27" s="49" t="s">
        <v>13</v>
      </c>
    </row>
    <row r="28" spans="1:12" x14ac:dyDescent="0.25">
      <c r="A28" s="1">
        <v>67</v>
      </c>
      <c r="B28" s="42" t="s">
        <v>1763</v>
      </c>
      <c r="C28" s="45" t="s">
        <v>10</v>
      </c>
      <c r="D28" s="45" t="s">
        <v>1764</v>
      </c>
      <c r="E28" s="45" t="s">
        <v>1751</v>
      </c>
      <c r="F28" s="42" t="s">
        <v>1765</v>
      </c>
      <c r="G28" s="42" t="s">
        <v>1766</v>
      </c>
      <c r="H28" s="42" t="s">
        <v>1767</v>
      </c>
      <c r="I28" s="42" t="s">
        <v>1768</v>
      </c>
      <c r="J28" s="42"/>
      <c r="K28" s="44"/>
      <c r="L28" s="49" t="s">
        <v>13</v>
      </c>
    </row>
    <row r="29" spans="1:12" x14ac:dyDescent="0.25">
      <c r="A29" s="1">
        <v>69</v>
      </c>
      <c r="B29" s="42" t="s">
        <v>1771</v>
      </c>
      <c r="C29" s="45" t="s">
        <v>13</v>
      </c>
      <c r="D29" s="45" t="s">
        <v>1762</v>
      </c>
      <c r="E29" s="45" t="s">
        <v>1769</v>
      </c>
      <c r="F29" s="42" t="s">
        <v>1772</v>
      </c>
      <c r="G29" s="42" t="s">
        <v>1773</v>
      </c>
      <c r="H29" s="42" t="s">
        <v>1774</v>
      </c>
      <c r="I29" s="42" t="s">
        <v>1775</v>
      </c>
      <c r="J29" s="42"/>
      <c r="K29" s="44"/>
      <c r="L29" s="49" t="s">
        <v>13</v>
      </c>
    </row>
    <row r="30" spans="1:12" x14ac:dyDescent="0.25">
      <c r="A30" s="1">
        <v>72</v>
      </c>
      <c r="B30" s="42" t="s">
        <v>1779</v>
      </c>
      <c r="C30" s="45" t="s">
        <v>13</v>
      </c>
      <c r="D30" s="45" t="s">
        <v>1722</v>
      </c>
      <c r="E30" s="45" t="s">
        <v>1769</v>
      </c>
      <c r="F30" s="42" t="s">
        <v>1780</v>
      </c>
      <c r="G30" s="42" t="s">
        <v>1781</v>
      </c>
      <c r="H30" s="42" t="s">
        <v>1782</v>
      </c>
      <c r="I30" s="42" t="s">
        <v>1783</v>
      </c>
      <c r="J30" s="42"/>
      <c r="K30" s="44"/>
      <c r="L30" s="49" t="s">
        <v>13</v>
      </c>
    </row>
    <row r="31" spans="1:12" x14ac:dyDescent="0.25">
      <c r="A31" s="1">
        <v>74</v>
      </c>
      <c r="B31" s="42" t="s">
        <v>1692</v>
      </c>
      <c r="C31" s="45" t="s">
        <v>13</v>
      </c>
      <c r="D31" s="45" t="s">
        <v>1784</v>
      </c>
      <c r="E31" s="45" t="s">
        <v>1769</v>
      </c>
      <c r="F31" s="42" t="s">
        <v>1785</v>
      </c>
      <c r="G31" s="42" t="s">
        <v>1770</v>
      </c>
      <c r="H31" s="42" t="s">
        <v>1786</v>
      </c>
      <c r="I31" s="42" t="s">
        <v>1787</v>
      </c>
      <c r="J31" s="42"/>
      <c r="K31" s="44"/>
      <c r="L31" s="49" t="s">
        <v>13</v>
      </c>
    </row>
    <row r="32" spans="1:12" x14ac:dyDescent="0.25">
      <c r="A32" s="1">
        <v>77</v>
      </c>
      <c r="B32" s="42" t="s">
        <v>1789</v>
      </c>
      <c r="C32" s="45" t="s">
        <v>13</v>
      </c>
      <c r="D32" s="45" t="s">
        <v>1690</v>
      </c>
      <c r="E32" s="45" t="s">
        <v>1790</v>
      </c>
      <c r="F32" s="42" t="s">
        <v>1791</v>
      </c>
      <c r="G32" s="44" t="s">
        <v>1792</v>
      </c>
      <c r="H32" s="44" t="s">
        <v>1793</v>
      </c>
      <c r="I32" s="44"/>
      <c r="J32" s="44"/>
      <c r="K32" s="44"/>
      <c r="L32" s="49" t="s">
        <v>13</v>
      </c>
    </row>
    <row r="33" spans="1:12" x14ac:dyDescent="0.25">
      <c r="A33" s="1">
        <v>79</v>
      </c>
      <c r="B33" s="42" t="s">
        <v>1795</v>
      </c>
      <c r="C33" s="45" t="s">
        <v>13</v>
      </c>
      <c r="D33" s="45" t="s">
        <v>1624</v>
      </c>
      <c r="E33" s="45" t="s">
        <v>1790</v>
      </c>
      <c r="F33" s="42" t="s">
        <v>1796</v>
      </c>
      <c r="G33" s="44" t="s">
        <v>1797</v>
      </c>
      <c r="H33" s="44" t="s">
        <v>1798</v>
      </c>
      <c r="I33" s="44"/>
      <c r="J33" s="44"/>
      <c r="K33" s="44"/>
      <c r="L33" s="49" t="s">
        <v>13</v>
      </c>
    </row>
    <row r="34" spans="1:12" x14ac:dyDescent="0.25">
      <c r="A34" s="1">
        <v>82</v>
      </c>
      <c r="B34" s="42" t="s">
        <v>1804</v>
      </c>
      <c r="C34" s="45" t="s">
        <v>13</v>
      </c>
      <c r="D34" s="45" t="s">
        <v>1805</v>
      </c>
      <c r="E34" s="45" t="s">
        <v>1790</v>
      </c>
      <c r="F34" s="42" t="s">
        <v>1806</v>
      </c>
      <c r="G34" s="44" t="s">
        <v>1807</v>
      </c>
      <c r="H34" s="44" t="s">
        <v>1808</v>
      </c>
      <c r="I34" s="44"/>
      <c r="J34" s="44"/>
      <c r="K34" s="44"/>
      <c r="L34" s="49" t="s">
        <v>13</v>
      </c>
    </row>
    <row r="35" spans="1:12" x14ac:dyDescent="0.25">
      <c r="A35" s="1">
        <v>84</v>
      </c>
      <c r="B35" s="42" t="s">
        <v>1811</v>
      </c>
      <c r="C35" s="45" t="s">
        <v>13</v>
      </c>
      <c r="D35" s="45" t="s">
        <v>1722</v>
      </c>
      <c r="E35" s="43" t="s">
        <v>1812</v>
      </c>
      <c r="F35" s="50" t="s">
        <v>1813</v>
      </c>
      <c r="G35" s="42" t="s">
        <v>1814</v>
      </c>
      <c r="H35" s="42" t="s">
        <v>1815</v>
      </c>
      <c r="I35" s="42" t="s">
        <v>1816</v>
      </c>
      <c r="J35" s="42"/>
      <c r="K35" s="44"/>
      <c r="L35" s="49" t="s">
        <v>13</v>
      </c>
    </row>
    <row r="36" spans="1:12" x14ac:dyDescent="0.25">
      <c r="A36" s="1">
        <v>87</v>
      </c>
      <c r="B36" s="42" t="s">
        <v>1819</v>
      </c>
      <c r="C36" s="45" t="s">
        <v>13</v>
      </c>
      <c r="D36" s="45" t="s">
        <v>1820</v>
      </c>
      <c r="E36" s="43" t="s">
        <v>1812</v>
      </c>
      <c r="F36" s="44" t="s">
        <v>1821</v>
      </c>
      <c r="G36" s="42" t="s">
        <v>1792</v>
      </c>
      <c r="H36" s="42" t="s">
        <v>1822</v>
      </c>
      <c r="I36" s="42" t="s">
        <v>1823</v>
      </c>
      <c r="J36" s="42"/>
      <c r="K36" s="44"/>
      <c r="L36" s="49" t="s">
        <v>13</v>
      </c>
    </row>
    <row r="37" spans="1:12" x14ac:dyDescent="0.25">
      <c r="A37" s="1">
        <v>89</v>
      </c>
      <c r="B37" s="42" t="s">
        <v>1824</v>
      </c>
      <c r="C37" s="45" t="s">
        <v>13</v>
      </c>
      <c r="D37" s="45" t="s">
        <v>1705</v>
      </c>
      <c r="E37" s="43" t="s">
        <v>1825</v>
      </c>
      <c r="F37" s="44" t="s">
        <v>1826</v>
      </c>
      <c r="G37" s="42" t="s">
        <v>1827</v>
      </c>
      <c r="H37" s="42" t="s">
        <v>1828</v>
      </c>
      <c r="I37" s="42" t="s">
        <v>1788</v>
      </c>
      <c r="J37" s="42"/>
      <c r="K37" s="44"/>
      <c r="L37" s="49" t="s">
        <v>13</v>
      </c>
    </row>
    <row r="38" spans="1:12" x14ac:dyDescent="0.25">
      <c r="A38" s="1">
        <v>92</v>
      </c>
      <c r="B38" s="42" t="s">
        <v>1831</v>
      </c>
      <c r="C38" s="45" t="s">
        <v>13</v>
      </c>
      <c r="D38" s="45" t="s">
        <v>1697</v>
      </c>
      <c r="E38" s="43" t="s">
        <v>1812</v>
      </c>
      <c r="F38" s="44" t="s">
        <v>1832</v>
      </c>
      <c r="G38" s="42" t="s">
        <v>1833</v>
      </c>
      <c r="H38" s="42" t="s">
        <v>1834</v>
      </c>
      <c r="I38" s="42" t="s">
        <v>1835</v>
      </c>
      <c r="J38" s="42"/>
      <c r="K38" s="42"/>
      <c r="L38" s="49" t="s">
        <v>13</v>
      </c>
    </row>
    <row r="39" spans="1:12" x14ac:dyDescent="0.25">
      <c r="A39" s="1">
        <v>94</v>
      </c>
      <c r="B39" s="42" t="s">
        <v>1837</v>
      </c>
      <c r="C39" s="45" t="s">
        <v>13</v>
      </c>
      <c r="D39" s="45" t="s">
        <v>1722</v>
      </c>
      <c r="E39" s="43" t="s">
        <v>1812</v>
      </c>
      <c r="F39" s="44" t="s">
        <v>1836</v>
      </c>
      <c r="G39" s="42" t="s">
        <v>1746</v>
      </c>
      <c r="H39" s="42" t="s">
        <v>1838</v>
      </c>
      <c r="I39" s="42" t="s">
        <v>1839</v>
      </c>
      <c r="J39" s="42"/>
      <c r="K39" s="44"/>
      <c r="L39" s="49" t="s">
        <v>13</v>
      </c>
    </row>
    <row r="40" spans="1:12" x14ac:dyDescent="0.25">
      <c r="A40" s="1">
        <v>97</v>
      </c>
      <c r="B40" s="42" t="s">
        <v>1841</v>
      </c>
      <c r="C40" s="45" t="s">
        <v>13</v>
      </c>
      <c r="D40" s="45" t="s">
        <v>1762</v>
      </c>
      <c r="E40" s="43" t="s">
        <v>1825</v>
      </c>
      <c r="F40" s="42" t="s">
        <v>1842</v>
      </c>
      <c r="G40" s="44" t="s">
        <v>1843</v>
      </c>
      <c r="H40" s="44" t="s">
        <v>1844</v>
      </c>
      <c r="I40" s="44" t="s">
        <v>1845</v>
      </c>
      <c r="J40" s="44"/>
      <c r="K40" s="44"/>
      <c r="L40" s="49" t="s">
        <v>13</v>
      </c>
    </row>
    <row r="41" spans="1:12" x14ac:dyDescent="0.25">
      <c r="A41" s="1">
        <v>99</v>
      </c>
      <c r="B41" s="42" t="s">
        <v>1846</v>
      </c>
      <c r="C41" s="45" t="s">
        <v>13</v>
      </c>
      <c r="D41" s="45" t="s">
        <v>1805</v>
      </c>
      <c r="E41" s="43" t="s">
        <v>1825</v>
      </c>
      <c r="F41" s="51" t="s">
        <v>1847</v>
      </c>
      <c r="G41" s="44" t="s">
        <v>1809</v>
      </c>
      <c r="H41" s="44" t="s">
        <v>1848</v>
      </c>
      <c r="I41" s="44" t="s">
        <v>1849</v>
      </c>
      <c r="J41" s="44"/>
      <c r="K41" s="44"/>
      <c r="L41" s="49" t="s">
        <v>13</v>
      </c>
    </row>
    <row r="42" spans="1:12" x14ac:dyDescent="0.25">
      <c r="A42" s="1">
        <v>102</v>
      </c>
      <c r="B42" s="8" t="s">
        <v>1851</v>
      </c>
      <c r="C42" s="37" t="s">
        <v>13</v>
      </c>
      <c r="D42" s="37" t="s">
        <v>2458</v>
      </c>
      <c r="E42" s="1" t="s">
        <v>1850</v>
      </c>
      <c r="F42" s="8" t="s">
        <v>1852</v>
      </c>
      <c r="G42" s="38" t="s">
        <v>1853</v>
      </c>
      <c r="H42" s="38" t="s">
        <v>2539</v>
      </c>
      <c r="I42" s="38" t="s">
        <v>1945</v>
      </c>
      <c r="J42" s="38"/>
      <c r="K42" s="38"/>
      <c r="L42" s="49" t="s">
        <v>13</v>
      </c>
    </row>
    <row r="43" spans="1:12" x14ac:dyDescent="0.25">
      <c r="A43" s="1">
        <v>104</v>
      </c>
      <c r="B43" s="8" t="s">
        <v>1854</v>
      </c>
      <c r="C43" s="37" t="s">
        <v>13</v>
      </c>
      <c r="D43" s="37"/>
      <c r="E43" s="1" t="s">
        <v>1850</v>
      </c>
      <c r="F43" s="8" t="s">
        <v>1855</v>
      </c>
      <c r="G43" s="38" t="s">
        <v>1856</v>
      </c>
      <c r="H43" s="38" t="s">
        <v>2540</v>
      </c>
      <c r="I43" s="38" t="s">
        <v>2541</v>
      </c>
      <c r="J43" s="38"/>
      <c r="K43" s="38" t="s">
        <v>1644</v>
      </c>
      <c r="L43" s="49" t="s">
        <v>13</v>
      </c>
    </row>
    <row r="44" spans="1:12" x14ac:dyDescent="0.25">
      <c r="A44" s="1">
        <v>107</v>
      </c>
      <c r="B44" s="42" t="s">
        <v>1858</v>
      </c>
      <c r="C44" s="45" t="s">
        <v>13</v>
      </c>
      <c r="D44" s="45" t="s">
        <v>1709</v>
      </c>
      <c r="E44" s="43" t="s">
        <v>1857</v>
      </c>
      <c r="F44" s="42" t="s">
        <v>1859</v>
      </c>
      <c r="G44" s="42" t="s">
        <v>1827</v>
      </c>
      <c r="H44" s="42" t="s">
        <v>1860</v>
      </c>
      <c r="I44" s="42" t="s">
        <v>1861</v>
      </c>
      <c r="J44" s="42"/>
      <c r="K44" s="44" t="s">
        <v>1644</v>
      </c>
      <c r="L44" s="49" t="s">
        <v>13</v>
      </c>
    </row>
    <row r="45" spans="1:12" x14ac:dyDescent="0.25">
      <c r="A45" s="1">
        <v>109</v>
      </c>
      <c r="B45" s="42" t="s">
        <v>1863</v>
      </c>
      <c r="C45" s="45" t="s">
        <v>13</v>
      </c>
      <c r="D45" s="45" t="s">
        <v>1764</v>
      </c>
      <c r="E45" s="43" t="s">
        <v>1864</v>
      </c>
      <c r="F45" s="42" t="s">
        <v>1865</v>
      </c>
      <c r="G45" s="42" t="s">
        <v>1802</v>
      </c>
      <c r="H45" s="42" t="s">
        <v>1866</v>
      </c>
      <c r="I45" s="42" t="s">
        <v>2542</v>
      </c>
      <c r="J45" s="42"/>
      <c r="K45" s="44"/>
      <c r="L45" s="49" t="s">
        <v>13</v>
      </c>
    </row>
    <row r="46" spans="1:12" x14ac:dyDescent="0.25">
      <c r="A46" s="1">
        <v>112</v>
      </c>
      <c r="B46" s="8" t="s">
        <v>1870</v>
      </c>
      <c r="C46" s="36" t="s">
        <v>1867</v>
      </c>
      <c r="D46" s="36" t="s">
        <v>1617</v>
      </c>
      <c r="E46" s="1" t="s">
        <v>1868</v>
      </c>
      <c r="F46" s="38" t="s">
        <v>1871</v>
      </c>
      <c r="G46" s="8" t="s">
        <v>1872</v>
      </c>
      <c r="H46" s="8"/>
      <c r="I46" s="8"/>
      <c r="J46" s="8"/>
      <c r="K46" s="8"/>
      <c r="L46" s="49" t="s">
        <v>13</v>
      </c>
    </row>
    <row r="47" spans="1:12" x14ac:dyDescent="0.25">
      <c r="A47" s="1">
        <v>114</v>
      </c>
      <c r="B47" s="8" t="s">
        <v>1874</v>
      </c>
      <c r="C47" s="36" t="s">
        <v>1867</v>
      </c>
      <c r="D47" s="36" t="s">
        <v>1634</v>
      </c>
      <c r="E47" s="1" t="s">
        <v>1868</v>
      </c>
      <c r="F47" s="39" t="s">
        <v>1875</v>
      </c>
      <c r="G47" s="8" t="s">
        <v>1876</v>
      </c>
      <c r="H47" s="8"/>
      <c r="I47" s="8"/>
      <c r="J47" s="8"/>
      <c r="K47" s="8"/>
      <c r="L47" s="49" t="s">
        <v>13</v>
      </c>
    </row>
    <row r="48" spans="1:12" x14ac:dyDescent="0.25">
      <c r="A48" s="1">
        <v>117</v>
      </c>
      <c r="B48" s="8" t="s">
        <v>1878</v>
      </c>
      <c r="C48" s="36" t="s">
        <v>1867</v>
      </c>
      <c r="D48" s="36" t="s">
        <v>1643</v>
      </c>
      <c r="E48" s="1" t="s">
        <v>1868</v>
      </c>
      <c r="F48" s="38" t="s">
        <v>1879</v>
      </c>
      <c r="G48" s="8" t="s">
        <v>1869</v>
      </c>
      <c r="H48" s="8"/>
      <c r="I48" s="8"/>
      <c r="J48" s="8"/>
      <c r="K48" s="8"/>
      <c r="L48" s="49" t="s">
        <v>13</v>
      </c>
    </row>
    <row r="49" spans="1:12" x14ac:dyDescent="0.25">
      <c r="A49" s="1">
        <v>119</v>
      </c>
      <c r="B49" s="8" t="s">
        <v>1880</v>
      </c>
      <c r="C49" s="36" t="s">
        <v>1867</v>
      </c>
      <c r="D49" s="36" t="s">
        <v>1643</v>
      </c>
      <c r="E49" s="1" t="s">
        <v>1868</v>
      </c>
      <c r="F49" s="38" t="s">
        <v>1881</v>
      </c>
      <c r="G49" s="8" t="s">
        <v>1877</v>
      </c>
      <c r="H49" s="8"/>
      <c r="I49" s="8"/>
      <c r="J49" s="8"/>
      <c r="K49" s="8" t="s">
        <v>1882</v>
      </c>
      <c r="L49" s="49" t="s">
        <v>13</v>
      </c>
    </row>
    <row r="50" spans="1:12" x14ac:dyDescent="0.25">
      <c r="A50" s="1">
        <v>122</v>
      </c>
      <c r="B50" s="42" t="s">
        <v>1885</v>
      </c>
      <c r="C50" s="45" t="s">
        <v>1867</v>
      </c>
      <c r="D50" s="45" t="s">
        <v>1801</v>
      </c>
      <c r="E50" s="43" t="s">
        <v>1883</v>
      </c>
      <c r="F50" s="50" t="s">
        <v>1886</v>
      </c>
      <c r="G50" s="42" t="s">
        <v>1884</v>
      </c>
      <c r="H50" s="42" t="s">
        <v>1887</v>
      </c>
      <c r="I50" s="42" t="s">
        <v>1888</v>
      </c>
      <c r="J50" s="42"/>
      <c r="K50" s="44"/>
      <c r="L50" s="49" t="s">
        <v>13</v>
      </c>
    </row>
    <row r="51" spans="1:12" x14ac:dyDescent="0.25">
      <c r="A51" s="1">
        <v>124</v>
      </c>
      <c r="B51" s="42" t="s">
        <v>1889</v>
      </c>
      <c r="C51" s="45" t="s">
        <v>1867</v>
      </c>
      <c r="D51" s="45" t="s">
        <v>1709</v>
      </c>
      <c r="E51" s="43" t="s">
        <v>1883</v>
      </c>
      <c r="F51" s="50" t="s">
        <v>1890</v>
      </c>
      <c r="G51" s="42" t="s">
        <v>1891</v>
      </c>
      <c r="H51" s="42" t="s">
        <v>1892</v>
      </c>
      <c r="I51" s="42" t="s">
        <v>1893</v>
      </c>
      <c r="J51" s="42"/>
      <c r="K51" s="44"/>
      <c r="L51" s="49" t="s">
        <v>13</v>
      </c>
    </row>
    <row r="52" spans="1:12" x14ac:dyDescent="0.25">
      <c r="A52" s="1">
        <v>127</v>
      </c>
      <c r="B52" s="42" t="s">
        <v>1894</v>
      </c>
      <c r="C52" s="45" t="s">
        <v>1867</v>
      </c>
      <c r="D52" s="45" t="s">
        <v>1895</v>
      </c>
      <c r="E52" s="43" t="s">
        <v>1883</v>
      </c>
      <c r="F52" s="50" t="s">
        <v>1896</v>
      </c>
      <c r="G52" s="42" t="s">
        <v>1897</v>
      </c>
      <c r="H52" s="42" t="s">
        <v>1898</v>
      </c>
      <c r="I52" s="42" t="s">
        <v>284</v>
      </c>
      <c r="J52" s="42"/>
      <c r="K52" s="44"/>
      <c r="L52" s="49" t="s">
        <v>13</v>
      </c>
    </row>
    <row r="53" spans="1:12" x14ac:dyDescent="0.25">
      <c r="A53" s="1">
        <v>129</v>
      </c>
      <c r="B53" s="8" t="s">
        <v>1899</v>
      </c>
      <c r="C53" s="36" t="s">
        <v>1867</v>
      </c>
      <c r="D53" s="36" t="s">
        <v>1643</v>
      </c>
      <c r="E53" s="1" t="s">
        <v>1900</v>
      </c>
      <c r="F53" s="8" t="s">
        <v>1901</v>
      </c>
      <c r="G53" s="8" t="s">
        <v>1902</v>
      </c>
      <c r="H53" s="8"/>
      <c r="I53" s="8"/>
      <c r="J53" s="8"/>
      <c r="K53" s="38"/>
      <c r="L53" s="49" t="s">
        <v>13</v>
      </c>
    </row>
    <row r="54" spans="1:12" x14ac:dyDescent="0.25">
      <c r="A54" s="1">
        <v>132</v>
      </c>
      <c r="B54" s="8" t="s">
        <v>1904</v>
      </c>
      <c r="C54" s="36" t="s">
        <v>1867</v>
      </c>
      <c r="D54" s="36" t="s">
        <v>1634</v>
      </c>
      <c r="E54" s="1" t="s">
        <v>1900</v>
      </c>
      <c r="F54" s="8" t="s">
        <v>1905</v>
      </c>
      <c r="G54" s="8" t="s">
        <v>1814</v>
      </c>
      <c r="H54" s="8"/>
      <c r="I54" s="8"/>
      <c r="J54" s="8"/>
      <c r="K54" s="38"/>
      <c r="L54" s="49" t="s">
        <v>13</v>
      </c>
    </row>
    <row r="55" spans="1:12" x14ac:dyDescent="0.25">
      <c r="A55" s="1">
        <v>134</v>
      </c>
      <c r="B55" s="8" t="s">
        <v>1906</v>
      </c>
      <c r="C55" s="36" t="s">
        <v>1867</v>
      </c>
      <c r="D55" s="36" t="s">
        <v>1652</v>
      </c>
      <c r="E55" s="1" t="s">
        <v>1900</v>
      </c>
      <c r="F55" s="8" t="s">
        <v>1907</v>
      </c>
      <c r="G55" s="8" t="s">
        <v>1799</v>
      </c>
      <c r="H55" s="8"/>
      <c r="I55" s="8"/>
      <c r="J55" s="8"/>
      <c r="K55" s="38" t="s">
        <v>1803</v>
      </c>
      <c r="L55" s="49" t="s">
        <v>13</v>
      </c>
    </row>
    <row r="56" spans="1:12" x14ac:dyDescent="0.25">
      <c r="A56" s="1">
        <v>137</v>
      </c>
      <c r="B56" s="8" t="s">
        <v>1908</v>
      </c>
      <c r="C56" s="36" t="s">
        <v>1867</v>
      </c>
      <c r="D56" s="36" t="s">
        <v>1621</v>
      </c>
      <c r="E56" s="1" t="s">
        <v>1900</v>
      </c>
      <c r="F56" s="8" t="s">
        <v>1909</v>
      </c>
      <c r="G56" s="8" t="s">
        <v>1910</v>
      </c>
      <c r="H56" s="8"/>
      <c r="I56" s="8"/>
      <c r="J56" s="8"/>
      <c r="K56" s="38"/>
      <c r="L56" s="49" t="s">
        <v>13</v>
      </c>
    </row>
    <row r="57" spans="1:12" x14ac:dyDescent="0.25">
      <c r="A57" s="1">
        <v>139</v>
      </c>
      <c r="B57" s="8" t="s">
        <v>1913</v>
      </c>
      <c r="C57" s="36" t="s">
        <v>1867</v>
      </c>
      <c r="D57" s="36" t="s">
        <v>1914</v>
      </c>
      <c r="E57" s="1" t="s">
        <v>1900</v>
      </c>
      <c r="F57" s="8" t="s">
        <v>1915</v>
      </c>
      <c r="G57" s="8" t="s">
        <v>1916</v>
      </c>
      <c r="H57" s="8"/>
      <c r="I57" s="8"/>
      <c r="J57" s="8"/>
      <c r="K57" s="38"/>
      <c r="L57" s="49" t="s">
        <v>13</v>
      </c>
    </row>
    <row r="58" spans="1:12" x14ac:dyDescent="0.25">
      <c r="A58" s="1">
        <v>142</v>
      </c>
      <c r="B58" s="8" t="s">
        <v>1917</v>
      </c>
      <c r="C58" s="36" t="s">
        <v>1867</v>
      </c>
      <c r="D58" s="36" t="s">
        <v>1643</v>
      </c>
      <c r="E58" s="1" t="s">
        <v>1900</v>
      </c>
      <c r="F58" s="8" t="s">
        <v>1918</v>
      </c>
      <c r="G58" s="8" t="s">
        <v>1919</v>
      </c>
      <c r="H58" s="8"/>
      <c r="I58" s="8"/>
      <c r="J58" s="8"/>
      <c r="K58" s="38"/>
      <c r="L58" s="49" t="s">
        <v>13</v>
      </c>
    </row>
    <row r="59" spans="1:12" x14ac:dyDescent="0.25">
      <c r="A59" s="1">
        <v>144</v>
      </c>
      <c r="B59" s="8" t="s">
        <v>1920</v>
      </c>
      <c r="C59" s="36" t="s">
        <v>1867</v>
      </c>
      <c r="D59" s="36" t="s">
        <v>1617</v>
      </c>
      <c r="E59" s="1" t="s">
        <v>1921</v>
      </c>
      <c r="F59" s="8" t="s">
        <v>1922</v>
      </c>
      <c r="G59" s="8" t="s">
        <v>1817</v>
      </c>
      <c r="H59" s="8"/>
      <c r="I59" s="8"/>
      <c r="J59" s="8"/>
      <c r="K59" s="38"/>
      <c r="L59" s="49" t="s">
        <v>13</v>
      </c>
    </row>
    <row r="60" spans="1:12" x14ac:dyDescent="0.25">
      <c r="A60" s="1">
        <v>147</v>
      </c>
      <c r="B60" s="8" t="s">
        <v>1924</v>
      </c>
      <c r="C60" s="36" t="s">
        <v>1867</v>
      </c>
      <c r="D60" s="36" t="s">
        <v>1903</v>
      </c>
      <c r="E60" s="1" t="s">
        <v>1921</v>
      </c>
      <c r="F60" s="8" t="s">
        <v>1925</v>
      </c>
      <c r="G60" s="8" t="s">
        <v>1926</v>
      </c>
      <c r="H60" s="8"/>
      <c r="I60" s="8"/>
      <c r="J60" s="8"/>
      <c r="K60" s="38"/>
      <c r="L60" s="49" t="s">
        <v>13</v>
      </c>
    </row>
    <row r="61" spans="1:12" x14ac:dyDescent="0.25">
      <c r="A61" s="1">
        <v>149</v>
      </c>
      <c r="B61" s="8" t="s">
        <v>1927</v>
      </c>
      <c r="C61" s="36" t="s">
        <v>1867</v>
      </c>
      <c r="D61" s="36" t="s">
        <v>2439</v>
      </c>
      <c r="E61" s="1" t="s">
        <v>1921</v>
      </c>
      <c r="F61" s="8" t="s">
        <v>1928</v>
      </c>
      <c r="G61" s="8" t="s">
        <v>1802</v>
      </c>
      <c r="H61" s="8"/>
      <c r="I61" s="8"/>
      <c r="J61" s="8"/>
      <c r="K61" s="38"/>
      <c r="L61" s="49" t="s">
        <v>13</v>
      </c>
    </row>
    <row r="62" spans="1:12" x14ac:dyDescent="0.25">
      <c r="A62" s="1">
        <v>152</v>
      </c>
      <c r="B62" s="8" t="s">
        <v>1929</v>
      </c>
      <c r="C62" s="36" t="s">
        <v>1867</v>
      </c>
      <c r="D62" s="36" t="s">
        <v>1903</v>
      </c>
      <c r="E62" s="1" t="s">
        <v>1921</v>
      </c>
      <c r="F62" s="8" t="s">
        <v>1930</v>
      </c>
      <c r="G62" s="8" t="s">
        <v>1926</v>
      </c>
      <c r="H62" s="8"/>
      <c r="I62" s="8"/>
      <c r="J62" s="8"/>
      <c r="K62" s="38"/>
      <c r="L62" s="49" t="s">
        <v>13</v>
      </c>
    </row>
    <row r="63" spans="1:12" x14ac:dyDescent="0.25">
      <c r="A63" s="1">
        <v>154</v>
      </c>
      <c r="B63" s="8" t="s">
        <v>1931</v>
      </c>
      <c r="C63" s="36" t="s">
        <v>1867</v>
      </c>
      <c r="D63" s="36"/>
      <c r="E63" s="1" t="s">
        <v>1921</v>
      </c>
      <c r="F63" s="8" t="s">
        <v>1932</v>
      </c>
      <c r="G63" s="8" t="s">
        <v>1933</v>
      </c>
      <c r="H63" s="8"/>
      <c r="I63" s="8"/>
      <c r="J63" s="8"/>
      <c r="K63" s="38"/>
      <c r="L63" s="49" t="s">
        <v>13</v>
      </c>
    </row>
    <row r="64" spans="1:12" x14ac:dyDescent="0.25">
      <c r="A64" s="1">
        <v>157</v>
      </c>
      <c r="B64" s="42" t="s">
        <v>1935</v>
      </c>
      <c r="C64" s="45" t="s">
        <v>1867</v>
      </c>
      <c r="D64" s="45" t="s">
        <v>1624</v>
      </c>
      <c r="E64" s="43" t="s">
        <v>1934</v>
      </c>
      <c r="F64" s="42" t="s">
        <v>1936</v>
      </c>
      <c r="G64" s="52" t="s">
        <v>1937</v>
      </c>
      <c r="H64" s="52" t="s">
        <v>1631</v>
      </c>
      <c r="I64" s="52" t="s">
        <v>1563</v>
      </c>
      <c r="J64" s="52"/>
      <c r="K64" s="44"/>
      <c r="L64" s="49" t="s">
        <v>13</v>
      </c>
    </row>
    <row r="65" spans="1:12" x14ac:dyDescent="0.25">
      <c r="A65" s="1">
        <v>159</v>
      </c>
      <c r="B65" s="8" t="s">
        <v>1938</v>
      </c>
      <c r="C65" s="36" t="s">
        <v>1867</v>
      </c>
      <c r="D65" s="36" t="s">
        <v>1705</v>
      </c>
      <c r="E65" s="1" t="s">
        <v>1934</v>
      </c>
      <c r="F65" s="8" t="s">
        <v>1939</v>
      </c>
      <c r="G65" s="40" t="s">
        <v>1778</v>
      </c>
      <c r="H65" s="40"/>
      <c r="I65" s="40"/>
      <c r="J65" s="40"/>
      <c r="K65" s="38"/>
      <c r="L65" s="49" t="s">
        <v>13</v>
      </c>
    </row>
    <row r="66" spans="1:12" x14ac:dyDescent="0.25">
      <c r="A66" s="1">
        <v>162</v>
      </c>
      <c r="B66" s="42" t="s">
        <v>1943</v>
      </c>
      <c r="C66" s="45" t="s">
        <v>1867</v>
      </c>
      <c r="D66" s="45" t="s">
        <v>1697</v>
      </c>
      <c r="E66" s="43" t="s">
        <v>1940</v>
      </c>
      <c r="F66" s="42" t="s">
        <v>1944</v>
      </c>
      <c r="G66" s="42" t="s">
        <v>1809</v>
      </c>
      <c r="H66" s="42" t="s">
        <v>635</v>
      </c>
      <c r="I66" s="42" t="s">
        <v>1945</v>
      </c>
      <c r="J66" s="42"/>
      <c r="K66" s="44"/>
      <c r="L66" s="49" t="s">
        <v>13</v>
      </c>
    </row>
    <row r="67" spans="1:12" x14ac:dyDescent="0.25">
      <c r="A67" s="1">
        <v>164</v>
      </c>
      <c r="B67" s="42" t="s">
        <v>1947</v>
      </c>
      <c r="C67" s="45" t="s">
        <v>1867</v>
      </c>
      <c r="D67" s="45" t="s">
        <v>1700</v>
      </c>
      <c r="E67" s="43" t="s">
        <v>1940</v>
      </c>
      <c r="F67" s="42" t="s">
        <v>1948</v>
      </c>
      <c r="G67" s="42" t="s">
        <v>1827</v>
      </c>
      <c r="H67" s="42" t="s">
        <v>1949</v>
      </c>
      <c r="I67" s="42" t="s">
        <v>1950</v>
      </c>
      <c r="J67" s="42"/>
      <c r="K67" s="44"/>
      <c r="L67" s="49" t="s">
        <v>13</v>
      </c>
    </row>
    <row r="68" spans="1:12" x14ac:dyDescent="0.25">
      <c r="A68" s="1">
        <v>167</v>
      </c>
      <c r="B68" s="8" t="s">
        <v>1953</v>
      </c>
      <c r="C68" s="36" t="s">
        <v>1867</v>
      </c>
      <c r="D68" s="36"/>
      <c r="E68" s="1" t="s">
        <v>1952</v>
      </c>
      <c r="F68" s="8" t="s">
        <v>1954</v>
      </c>
      <c r="G68" s="40" t="s">
        <v>1817</v>
      </c>
      <c r="H68" s="40"/>
      <c r="I68" s="40"/>
      <c r="J68" s="40"/>
      <c r="K68" s="38"/>
      <c r="L68" s="49" t="s">
        <v>13</v>
      </c>
    </row>
    <row r="69" spans="1:12" x14ac:dyDescent="0.25">
      <c r="A69" s="1">
        <v>169</v>
      </c>
      <c r="B69" s="8" t="s">
        <v>1955</v>
      </c>
      <c r="C69" s="36" t="s">
        <v>1867</v>
      </c>
      <c r="D69" s="36" t="s">
        <v>2439</v>
      </c>
      <c r="E69" s="1" t="s">
        <v>1952</v>
      </c>
      <c r="F69" s="8" t="s">
        <v>1956</v>
      </c>
      <c r="G69" s="40" t="s">
        <v>1817</v>
      </c>
      <c r="H69" s="40"/>
      <c r="I69" s="40"/>
      <c r="J69" s="40"/>
      <c r="K69" s="38"/>
      <c r="L69" s="49" t="s">
        <v>13</v>
      </c>
    </row>
    <row r="70" spans="1:12" x14ac:dyDescent="0.25">
      <c r="A70" s="1">
        <v>172</v>
      </c>
      <c r="B70" s="42" t="s">
        <v>1959</v>
      </c>
      <c r="C70" s="45" t="s">
        <v>1957</v>
      </c>
      <c r="D70" s="45" t="s">
        <v>1762</v>
      </c>
      <c r="E70" s="53" t="s">
        <v>1960</v>
      </c>
      <c r="F70" s="42" t="s">
        <v>1961</v>
      </c>
      <c r="G70" s="42" t="s">
        <v>1962</v>
      </c>
      <c r="H70" s="42" t="s">
        <v>1963</v>
      </c>
      <c r="I70" s="42" t="s">
        <v>1964</v>
      </c>
      <c r="J70" s="42"/>
      <c r="K70" s="44"/>
      <c r="L70" s="49" t="s">
        <v>13</v>
      </c>
    </row>
    <row r="71" spans="1:12" x14ac:dyDescent="0.25">
      <c r="A71" s="1">
        <v>174</v>
      </c>
      <c r="B71" s="8" t="s">
        <v>1966</v>
      </c>
      <c r="C71" s="37" t="s">
        <v>1957</v>
      </c>
      <c r="D71" s="37" t="s">
        <v>2458</v>
      </c>
      <c r="E71" s="41" t="s">
        <v>1960</v>
      </c>
      <c r="F71" s="8" t="s">
        <v>1967</v>
      </c>
      <c r="G71" s="8" t="s">
        <v>1965</v>
      </c>
      <c r="H71" s="8"/>
      <c r="I71" s="8"/>
      <c r="J71" s="8"/>
      <c r="K71" s="38"/>
      <c r="L71" s="49" t="s">
        <v>13</v>
      </c>
    </row>
    <row r="72" spans="1:12" x14ac:dyDescent="0.25">
      <c r="A72" s="1">
        <v>177</v>
      </c>
      <c r="B72" s="8" t="s">
        <v>1968</v>
      </c>
      <c r="C72" s="37" t="s">
        <v>1957</v>
      </c>
      <c r="D72" s="37"/>
      <c r="E72" s="1" t="s">
        <v>1969</v>
      </c>
      <c r="F72" s="8" t="s">
        <v>1939</v>
      </c>
      <c r="G72" s="8" t="s">
        <v>1970</v>
      </c>
      <c r="H72" s="8"/>
      <c r="I72" s="8"/>
      <c r="J72" s="8"/>
      <c r="K72" s="38"/>
      <c r="L72" s="49" t="s">
        <v>13</v>
      </c>
    </row>
    <row r="73" spans="1:12" x14ac:dyDescent="0.25">
      <c r="A73" s="1">
        <v>179</v>
      </c>
      <c r="B73" s="42" t="s">
        <v>1971</v>
      </c>
      <c r="C73" s="45" t="s">
        <v>1957</v>
      </c>
      <c r="D73" s="45" t="s">
        <v>1784</v>
      </c>
      <c r="E73" s="45" t="s">
        <v>1972</v>
      </c>
      <c r="F73" s="42" t="s">
        <v>1973</v>
      </c>
      <c r="G73" s="42" t="s">
        <v>1974</v>
      </c>
      <c r="H73" s="42" t="s">
        <v>1975</v>
      </c>
      <c r="I73" s="42" t="s">
        <v>1976</v>
      </c>
      <c r="J73" s="42"/>
      <c r="K73" s="44"/>
      <c r="L73" s="49" t="s">
        <v>13</v>
      </c>
    </row>
    <row r="74" spans="1:12" x14ac:dyDescent="0.25">
      <c r="A74" s="1">
        <v>182</v>
      </c>
      <c r="B74" s="42" t="s">
        <v>1980</v>
      </c>
      <c r="C74" s="45" t="s">
        <v>1957</v>
      </c>
      <c r="D74" s="45" t="s">
        <v>1981</v>
      </c>
      <c r="E74" s="45" t="s">
        <v>1979</v>
      </c>
      <c r="F74" s="42" t="s">
        <v>1982</v>
      </c>
      <c r="G74" s="42" t="s">
        <v>1983</v>
      </c>
      <c r="H74" s="42" t="s">
        <v>1984</v>
      </c>
      <c r="I74" s="42" t="s">
        <v>1985</v>
      </c>
      <c r="J74" s="42"/>
      <c r="K74" s="44"/>
      <c r="L74" s="49" t="s">
        <v>13</v>
      </c>
    </row>
    <row r="75" spans="1:12" x14ac:dyDescent="0.25">
      <c r="A75" s="1">
        <v>184</v>
      </c>
      <c r="B75" s="8" t="s">
        <v>1987</v>
      </c>
      <c r="C75" s="37" t="s">
        <v>1957</v>
      </c>
      <c r="D75" s="37" t="s">
        <v>1764</v>
      </c>
      <c r="E75" s="37" t="s">
        <v>1988</v>
      </c>
      <c r="F75" s="8" t="s">
        <v>1989</v>
      </c>
      <c r="G75" s="8" t="s">
        <v>1794</v>
      </c>
      <c r="H75" s="8"/>
      <c r="I75" s="8"/>
      <c r="J75" s="8"/>
      <c r="K75" s="38"/>
      <c r="L75" s="49" t="s">
        <v>13</v>
      </c>
    </row>
    <row r="76" spans="1:12" x14ac:dyDescent="0.25">
      <c r="A76" s="1">
        <v>187</v>
      </c>
      <c r="B76" s="42" t="s">
        <v>1992</v>
      </c>
      <c r="C76" s="45" t="s">
        <v>1957</v>
      </c>
      <c r="D76" s="45" t="s">
        <v>1709</v>
      </c>
      <c r="E76" s="45" t="s">
        <v>1990</v>
      </c>
      <c r="F76" s="42" t="s">
        <v>1993</v>
      </c>
      <c r="G76" s="42" t="s">
        <v>1958</v>
      </c>
      <c r="H76" s="42" t="s">
        <v>1994</v>
      </c>
      <c r="I76" s="42" t="s">
        <v>1995</v>
      </c>
      <c r="J76" s="42"/>
      <c r="K76" s="44"/>
      <c r="L76" s="49" t="s">
        <v>13</v>
      </c>
    </row>
    <row r="77" spans="1:12" x14ac:dyDescent="0.25">
      <c r="A77" s="1">
        <v>189</v>
      </c>
      <c r="B77" s="8" t="s">
        <v>1997</v>
      </c>
      <c r="C77" s="37" t="s">
        <v>1957</v>
      </c>
      <c r="D77" s="37" t="s">
        <v>1624</v>
      </c>
      <c r="E77" s="37" t="s">
        <v>1996</v>
      </c>
      <c r="F77" s="8" t="s">
        <v>1998</v>
      </c>
      <c r="G77" s="8" t="s">
        <v>1999</v>
      </c>
      <c r="H77" s="8"/>
      <c r="I77" s="8"/>
      <c r="J77" s="8"/>
      <c r="K77" s="38"/>
      <c r="L77" s="49" t="s">
        <v>13</v>
      </c>
    </row>
    <row r="78" spans="1:12" x14ac:dyDescent="0.25">
      <c r="A78" s="1">
        <v>192</v>
      </c>
      <c r="B78" s="42" t="s">
        <v>2002</v>
      </c>
      <c r="C78" s="45" t="s">
        <v>1957</v>
      </c>
      <c r="D78" s="45" t="s">
        <v>1634</v>
      </c>
      <c r="E78" s="45" t="s">
        <v>2000</v>
      </c>
      <c r="F78" s="42" t="s">
        <v>2003</v>
      </c>
      <c r="G78" s="42" t="s">
        <v>2004</v>
      </c>
      <c r="H78" s="42" t="s">
        <v>2005</v>
      </c>
      <c r="I78" s="42" t="s">
        <v>2006</v>
      </c>
      <c r="J78" s="42"/>
      <c r="K78" s="44"/>
      <c r="L78" s="49" t="s">
        <v>13</v>
      </c>
    </row>
    <row r="79" spans="1:12" x14ac:dyDescent="0.25">
      <c r="A79" s="1">
        <v>194</v>
      </c>
      <c r="B79" s="42" t="s">
        <v>2009</v>
      </c>
      <c r="C79" s="45" t="s">
        <v>1957</v>
      </c>
      <c r="D79" s="45" t="s">
        <v>1690</v>
      </c>
      <c r="E79" s="45" t="s">
        <v>2010</v>
      </c>
      <c r="F79" s="42" t="s">
        <v>2011</v>
      </c>
      <c r="G79" s="42" t="s">
        <v>1773</v>
      </c>
      <c r="H79" s="42" t="s">
        <v>1724</v>
      </c>
      <c r="I79" s="42" t="s">
        <v>1818</v>
      </c>
      <c r="J79" s="42"/>
      <c r="K79" s="44"/>
      <c r="L79" s="49" t="s">
        <v>13</v>
      </c>
    </row>
    <row r="80" spans="1:12" x14ac:dyDescent="0.25">
      <c r="A80" s="1">
        <v>197</v>
      </c>
      <c r="B80" s="42" t="s">
        <v>2013</v>
      </c>
      <c r="C80" s="45" t="s">
        <v>1957</v>
      </c>
      <c r="D80" s="45" t="s">
        <v>2014</v>
      </c>
      <c r="E80" s="45" t="s">
        <v>2010</v>
      </c>
      <c r="F80" s="54" t="s">
        <v>1923</v>
      </c>
      <c r="G80" s="42" t="s">
        <v>1912</v>
      </c>
      <c r="H80" s="42" t="s">
        <v>2015</v>
      </c>
      <c r="I80" s="42" t="s">
        <v>2016</v>
      </c>
      <c r="J80" s="42"/>
      <c r="K80" s="44"/>
      <c r="L80" s="49" t="s">
        <v>13</v>
      </c>
    </row>
    <row r="81" spans="1:12" x14ac:dyDescent="0.25">
      <c r="A81" s="1">
        <v>199</v>
      </c>
      <c r="B81" s="42" t="s">
        <v>1633</v>
      </c>
      <c r="C81" s="45" t="s">
        <v>2017</v>
      </c>
      <c r="D81" s="45" t="s">
        <v>1703</v>
      </c>
      <c r="E81" s="45" t="s">
        <v>2018</v>
      </c>
      <c r="F81" s="42" t="s">
        <v>2019</v>
      </c>
      <c r="G81" s="42" t="s">
        <v>2020</v>
      </c>
      <c r="H81" s="42" t="s">
        <v>2021</v>
      </c>
      <c r="I81" s="42"/>
      <c r="J81" s="42"/>
      <c r="K81" s="44"/>
      <c r="L81" s="49" t="s">
        <v>13</v>
      </c>
    </row>
    <row r="82" spans="1:12" s="46" customFormat="1" ht="18.2" customHeight="1" x14ac:dyDescent="0.25">
      <c r="A82" s="1">
        <v>202</v>
      </c>
      <c r="B82" s="42" t="s">
        <v>2023</v>
      </c>
      <c r="C82" s="45" t="s">
        <v>2017</v>
      </c>
      <c r="D82" s="45" t="s">
        <v>1762</v>
      </c>
      <c r="E82" s="45" t="s">
        <v>2024</v>
      </c>
      <c r="F82" s="42" t="s">
        <v>2025</v>
      </c>
      <c r="G82" s="42" t="s">
        <v>2026</v>
      </c>
      <c r="H82" s="42" t="s">
        <v>2027</v>
      </c>
      <c r="I82" s="42" t="s">
        <v>2028</v>
      </c>
      <c r="J82" s="42"/>
      <c r="K82" s="44"/>
      <c r="L82" s="49" t="s">
        <v>13</v>
      </c>
    </row>
    <row r="83" spans="1:12" s="46" customFormat="1" ht="18.2" customHeight="1" x14ac:dyDescent="0.25">
      <c r="A83" s="1">
        <v>204</v>
      </c>
      <c r="B83" s="42" t="s">
        <v>2029</v>
      </c>
      <c r="C83" s="45" t="s">
        <v>2017</v>
      </c>
      <c r="D83" s="45" t="s">
        <v>1703</v>
      </c>
      <c r="E83" s="45" t="s">
        <v>2024</v>
      </c>
      <c r="F83" s="42" t="s">
        <v>2030</v>
      </c>
      <c r="G83" s="42" t="s">
        <v>2026</v>
      </c>
      <c r="H83" s="42" t="s">
        <v>2031</v>
      </c>
      <c r="I83" s="42"/>
      <c r="J83" s="42"/>
      <c r="K83" s="44"/>
      <c r="L83" s="49" t="s">
        <v>13</v>
      </c>
    </row>
    <row r="84" spans="1:12" s="46" customFormat="1" ht="18.2" customHeight="1" x14ac:dyDescent="0.25">
      <c r="A84" s="1">
        <v>207</v>
      </c>
      <c r="B84" s="42" t="s">
        <v>2032</v>
      </c>
      <c r="C84" s="45" t="s">
        <v>2017</v>
      </c>
      <c r="D84" s="45" t="s">
        <v>2033</v>
      </c>
      <c r="E84" s="45" t="s">
        <v>2034</v>
      </c>
      <c r="F84" s="42" t="s">
        <v>2035</v>
      </c>
      <c r="G84" s="42" t="s">
        <v>1902</v>
      </c>
      <c r="H84" s="42" t="s">
        <v>2036</v>
      </c>
      <c r="I84" s="42" t="s">
        <v>1563</v>
      </c>
      <c r="J84" s="42"/>
      <c r="K84" s="44"/>
      <c r="L84" s="49" t="s">
        <v>13</v>
      </c>
    </row>
    <row r="85" spans="1:12" s="46" customFormat="1" ht="18.2" customHeight="1" x14ac:dyDescent="0.25">
      <c r="A85" s="1">
        <v>209</v>
      </c>
      <c r="B85" s="42" t="s">
        <v>2037</v>
      </c>
      <c r="C85" s="45" t="s">
        <v>2017</v>
      </c>
      <c r="D85" s="45" t="s">
        <v>2033</v>
      </c>
      <c r="E85" s="45" t="s">
        <v>2034</v>
      </c>
      <c r="F85" s="42" t="s">
        <v>2038</v>
      </c>
      <c r="G85" s="42" t="s">
        <v>1933</v>
      </c>
      <c r="H85" s="42" t="s">
        <v>2039</v>
      </c>
      <c r="I85" s="42" t="s">
        <v>2040</v>
      </c>
      <c r="J85" s="42"/>
      <c r="K85" s="44"/>
      <c r="L85" s="49" t="s">
        <v>13</v>
      </c>
    </row>
    <row r="86" spans="1:12" s="46" customFormat="1" ht="18.2" customHeight="1" x14ac:dyDescent="0.25">
      <c r="A86" s="1">
        <v>212</v>
      </c>
      <c r="B86" s="42" t="s">
        <v>2042</v>
      </c>
      <c r="C86" s="45" t="s">
        <v>2017</v>
      </c>
      <c r="D86" s="45" t="s">
        <v>1705</v>
      </c>
      <c r="E86" s="45" t="s">
        <v>2043</v>
      </c>
      <c r="F86" s="42" t="s">
        <v>2044</v>
      </c>
      <c r="G86" s="42" t="s">
        <v>2045</v>
      </c>
      <c r="H86" s="42" t="s">
        <v>2046</v>
      </c>
      <c r="I86" s="42" t="s">
        <v>2047</v>
      </c>
      <c r="J86" s="42"/>
      <c r="K86" s="44" t="s">
        <v>1738</v>
      </c>
      <c r="L86" s="49" t="s">
        <v>13</v>
      </c>
    </row>
    <row r="87" spans="1:12" s="46" customFormat="1" ht="18.2" customHeight="1" x14ac:dyDescent="0.25">
      <c r="A87" s="1">
        <v>214</v>
      </c>
      <c r="B87" s="42" t="s">
        <v>2048</v>
      </c>
      <c r="C87" s="45" t="s">
        <v>2017</v>
      </c>
      <c r="D87" s="45" t="s">
        <v>1978</v>
      </c>
      <c r="E87" s="45" t="s">
        <v>2043</v>
      </c>
      <c r="F87" s="42" t="s">
        <v>2049</v>
      </c>
      <c r="G87" s="42" t="s">
        <v>2026</v>
      </c>
      <c r="H87" s="42" t="s">
        <v>991</v>
      </c>
      <c r="I87" s="42" t="s">
        <v>2050</v>
      </c>
      <c r="J87" s="42"/>
      <c r="K87" s="44"/>
      <c r="L87" s="49" t="s">
        <v>13</v>
      </c>
    </row>
    <row r="88" spans="1:12" s="46" customFormat="1" ht="18.2" customHeight="1" x14ac:dyDescent="0.25">
      <c r="A88" s="1">
        <v>217</v>
      </c>
      <c r="B88" s="42" t="s">
        <v>2053</v>
      </c>
      <c r="C88" s="45" t="s">
        <v>2017</v>
      </c>
      <c r="D88" s="45" t="s">
        <v>2054</v>
      </c>
      <c r="E88" s="45" t="s">
        <v>2051</v>
      </c>
      <c r="F88" s="42" t="s">
        <v>2055</v>
      </c>
      <c r="G88" s="42" t="s">
        <v>1770</v>
      </c>
      <c r="H88" s="42" t="s">
        <v>2056</v>
      </c>
      <c r="I88" s="42" t="s">
        <v>2057</v>
      </c>
      <c r="J88" s="42"/>
      <c r="K88" s="44" t="s">
        <v>1644</v>
      </c>
    </row>
    <row r="89" spans="1:12" s="46" customFormat="1" ht="18.2" customHeight="1" x14ac:dyDescent="0.25">
      <c r="A89" s="1">
        <v>218</v>
      </c>
      <c r="B89" s="46" t="s">
        <v>93</v>
      </c>
      <c r="C89" s="45" t="s">
        <v>2017</v>
      </c>
      <c r="D89" s="45" t="s">
        <v>1690</v>
      </c>
      <c r="E89" s="45" t="s">
        <v>2058</v>
      </c>
      <c r="F89" s="42" t="s">
        <v>2049</v>
      </c>
      <c r="G89" s="42" t="s">
        <v>1778</v>
      </c>
      <c r="H89" s="42" t="s">
        <v>199</v>
      </c>
      <c r="I89" s="42"/>
      <c r="J89" s="42"/>
      <c r="K89" s="44"/>
    </row>
    <row r="90" spans="1:12" s="46" customFormat="1" ht="18.2" customHeight="1" x14ac:dyDescent="0.25">
      <c r="A90" s="1">
        <v>219</v>
      </c>
      <c r="B90" s="42" t="s">
        <v>2059</v>
      </c>
      <c r="C90" s="45" t="s">
        <v>2017</v>
      </c>
      <c r="D90" s="45" t="s">
        <v>2060</v>
      </c>
      <c r="E90" s="45" t="s">
        <v>2058</v>
      </c>
      <c r="F90" s="42" t="s">
        <v>2061</v>
      </c>
      <c r="G90" s="42" t="s">
        <v>1937</v>
      </c>
      <c r="H90" s="42" t="s">
        <v>474</v>
      </c>
      <c r="I90" s="42"/>
      <c r="J90" s="42"/>
      <c r="K90" s="44"/>
    </row>
    <row r="91" spans="1:12" s="46" customFormat="1" ht="18.2" customHeight="1" x14ac:dyDescent="0.25">
      <c r="A91" s="1">
        <v>220</v>
      </c>
      <c r="B91" s="42" t="s">
        <v>2062</v>
      </c>
      <c r="C91" s="45" t="s">
        <v>2017</v>
      </c>
      <c r="D91" s="45" t="s">
        <v>1703</v>
      </c>
      <c r="E91" s="45" t="s">
        <v>2058</v>
      </c>
      <c r="F91" s="42" t="s">
        <v>2049</v>
      </c>
      <c r="G91" s="42" t="s">
        <v>2063</v>
      </c>
      <c r="H91" s="42" t="s">
        <v>2064</v>
      </c>
      <c r="I91" s="42"/>
      <c r="J91" s="42"/>
      <c r="K91" s="44"/>
    </row>
    <row r="92" spans="1:12" s="46" customFormat="1" ht="18.2" customHeight="1" x14ac:dyDescent="0.25">
      <c r="A92" s="1">
        <v>221</v>
      </c>
      <c r="B92" s="42" t="s">
        <v>2065</v>
      </c>
      <c r="C92" s="45" t="s">
        <v>2017</v>
      </c>
      <c r="D92" s="45" t="s">
        <v>1709</v>
      </c>
      <c r="E92" s="45" t="s">
        <v>2058</v>
      </c>
      <c r="F92" s="42" t="s">
        <v>2066</v>
      </c>
      <c r="G92" s="42" t="s">
        <v>2067</v>
      </c>
      <c r="H92" s="42" t="s">
        <v>97</v>
      </c>
      <c r="I92" s="42"/>
      <c r="J92" s="42"/>
      <c r="K92" s="44"/>
    </row>
    <row r="93" spans="1:12" s="46" customFormat="1" ht="18.2" customHeight="1" x14ac:dyDescent="0.25">
      <c r="A93" s="1">
        <v>222</v>
      </c>
      <c r="B93" s="42" t="s">
        <v>2068</v>
      </c>
      <c r="C93" s="45" t="s">
        <v>2017</v>
      </c>
      <c r="D93" s="45" t="s">
        <v>2069</v>
      </c>
      <c r="E93" s="45" t="s">
        <v>2070</v>
      </c>
      <c r="F93" s="42" t="s">
        <v>2071</v>
      </c>
      <c r="G93" s="42" t="s">
        <v>2072</v>
      </c>
      <c r="H93" s="42" t="s">
        <v>2073</v>
      </c>
      <c r="I93" s="42"/>
      <c r="J93" s="42"/>
      <c r="K93" s="44"/>
    </row>
    <row r="94" spans="1:12" s="46" customFormat="1" ht="18.2" customHeight="1" x14ac:dyDescent="0.25">
      <c r="A94" s="1">
        <v>223</v>
      </c>
      <c r="B94" s="42" t="s">
        <v>2074</v>
      </c>
      <c r="C94" s="45" t="s">
        <v>2017</v>
      </c>
      <c r="D94" s="45" t="s">
        <v>1722</v>
      </c>
      <c r="E94" s="45" t="s">
        <v>2070</v>
      </c>
      <c r="F94" s="42" t="s">
        <v>2075</v>
      </c>
      <c r="G94" s="42" t="s">
        <v>2076</v>
      </c>
      <c r="H94" s="42" t="s">
        <v>2077</v>
      </c>
      <c r="I94" s="42"/>
      <c r="J94" s="42"/>
      <c r="K94" s="44"/>
    </row>
    <row r="95" spans="1:12" s="46" customFormat="1" ht="18.2" customHeight="1" x14ac:dyDescent="0.25">
      <c r="A95" s="1">
        <v>224</v>
      </c>
      <c r="B95" s="42" t="s">
        <v>2078</v>
      </c>
      <c r="C95" s="45" t="s">
        <v>2017</v>
      </c>
      <c r="D95" s="45"/>
      <c r="E95" s="45" t="s">
        <v>2070</v>
      </c>
      <c r="F95" s="42" t="s">
        <v>2079</v>
      </c>
      <c r="G95" s="42" t="s">
        <v>1902</v>
      </c>
      <c r="H95" s="42" t="s">
        <v>2080</v>
      </c>
      <c r="I95" s="42"/>
      <c r="J95" s="42"/>
      <c r="K95" s="44"/>
    </row>
    <row r="96" spans="1:12" s="46" customFormat="1" ht="18.2" customHeight="1" x14ac:dyDescent="0.25">
      <c r="A96" s="1">
        <v>225</v>
      </c>
      <c r="B96" s="42" t="s">
        <v>2081</v>
      </c>
      <c r="C96" s="45" t="s">
        <v>2017</v>
      </c>
      <c r="D96" s="45" t="s">
        <v>1981</v>
      </c>
      <c r="E96" s="45" t="s">
        <v>2070</v>
      </c>
      <c r="F96" s="42" t="s">
        <v>2082</v>
      </c>
      <c r="G96" s="42" t="s">
        <v>2083</v>
      </c>
      <c r="H96" s="42" t="s">
        <v>2084</v>
      </c>
      <c r="I96" s="42"/>
      <c r="J96" s="42"/>
      <c r="K96" s="44"/>
    </row>
    <row r="97" spans="1:11" s="46" customFormat="1" ht="18.2" customHeight="1" x14ac:dyDescent="0.25">
      <c r="A97" s="1">
        <v>226</v>
      </c>
      <c r="B97" s="42" t="s">
        <v>2085</v>
      </c>
      <c r="C97" s="45" t="s">
        <v>2017</v>
      </c>
      <c r="D97" s="45" t="s">
        <v>1733</v>
      </c>
      <c r="E97" s="45" t="s">
        <v>2086</v>
      </c>
      <c r="F97" s="42" t="s">
        <v>2087</v>
      </c>
      <c r="G97" s="42" t="s">
        <v>2052</v>
      </c>
      <c r="H97" s="42" t="s">
        <v>2088</v>
      </c>
      <c r="I97" s="42" t="s">
        <v>2089</v>
      </c>
      <c r="J97" s="42"/>
      <c r="K97" s="44"/>
    </row>
    <row r="98" spans="1:11" s="46" customFormat="1" ht="18.2" customHeight="1" x14ac:dyDescent="0.25">
      <c r="A98" s="1">
        <v>227</v>
      </c>
      <c r="B98" s="42" t="s">
        <v>2090</v>
      </c>
      <c r="C98" s="45" t="s">
        <v>2017</v>
      </c>
      <c r="D98" s="45" t="s">
        <v>1981</v>
      </c>
      <c r="E98" s="45" t="s">
        <v>2086</v>
      </c>
      <c r="F98" s="42" t="s">
        <v>2091</v>
      </c>
      <c r="G98" s="42" t="s">
        <v>2001</v>
      </c>
      <c r="H98" s="42" t="s">
        <v>1862</v>
      </c>
      <c r="I98" s="42" t="s">
        <v>2092</v>
      </c>
      <c r="J98" s="42"/>
      <c r="K98" s="44"/>
    </row>
    <row r="99" spans="1:11" s="46" customFormat="1" ht="18.2" customHeight="1" x14ac:dyDescent="0.25">
      <c r="A99" s="1">
        <v>228</v>
      </c>
      <c r="B99" s="42" t="s">
        <v>2093</v>
      </c>
      <c r="C99" s="45" t="s">
        <v>2017</v>
      </c>
      <c r="D99" s="45" t="s">
        <v>1981</v>
      </c>
      <c r="E99" s="45" t="s">
        <v>2086</v>
      </c>
      <c r="F99" s="42" t="s">
        <v>2094</v>
      </c>
      <c r="G99" s="42" t="s">
        <v>2095</v>
      </c>
      <c r="H99" s="42" t="s">
        <v>2096</v>
      </c>
      <c r="I99" s="42" t="s">
        <v>2097</v>
      </c>
      <c r="J99" s="42"/>
      <c r="K99" s="44"/>
    </row>
    <row r="100" spans="1:11" ht="18.2" customHeight="1" x14ac:dyDescent="0.25">
      <c r="A100" s="1">
        <v>229</v>
      </c>
      <c r="B100" s="8" t="s">
        <v>2098</v>
      </c>
      <c r="C100" s="36" t="s">
        <v>2017</v>
      </c>
      <c r="D100" s="36" t="s">
        <v>1981</v>
      </c>
      <c r="E100" s="37" t="s">
        <v>2099</v>
      </c>
      <c r="F100" s="8" t="s">
        <v>2100</v>
      </c>
      <c r="G100" s="8" t="s">
        <v>1814</v>
      </c>
      <c r="H100" s="8"/>
      <c r="I100" s="8"/>
      <c r="J100" s="8"/>
      <c r="K100" s="38"/>
    </row>
    <row r="101" spans="1:11" ht="18.2" customHeight="1" x14ac:dyDescent="0.25">
      <c r="A101" s="1">
        <v>230</v>
      </c>
      <c r="B101" s="8" t="s">
        <v>2101</v>
      </c>
      <c r="C101" s="36" t="s">
        <v>2017</v>
      </c>
      <c r="D101" s="36" t="s">
        <v>2438</v>
      </c>
      <c r="E101" s="37" t="s">
        <v>2099</v>
      </c>
      <c r="F101" s="8" t="s">
        <v>2102</v>
      </c>
      <c r="G101" s="8" t="s">
        <v>1817</v>
      </c>
      <c r="H101" s="8"/>
      <c r="I101" s="8"/>
      <c r="J101" s="8"/>
      <c r="K101" s="38"/>
    </row>
    <row r="102" spans="1:11" ht="18.2" customHeight="1" x14ac:dyDescent="0.25">
      <c r="A102" s="1">
        <v>231</v>
      </c>
      <c r="B102" s="8" t="s">
        <v>2103</v>
      </c>
      <c r="C102" s="36" t="s">
        <v>2017</v>
      </c>
      <c r="D102" s="36" t="s">
        <v>2438</v>
      </c>
      <c r="E102" s="37" t="s">
        <v>2099</v>
      </c>
      <c r="F102" s="8" t="s">
        <v>1944</v>
      </c>
      <c r="G102" s="8" t="s">
        <v>1926</v>
      </c>
      <c r="H102" s="8"/>
      <c r="I102" s="8"/>
      <c r="J102" s="8"/>
      <c r="K102" s="38"/>
    </row>
    <row r="103" spans="1:11" ht="18.2" customHeight="1" x14ac:dyDescent="0.25">
      <c r="A103" s="1">
        <v>232</v>
      </c>
      <c r="B103" s="8" t="s">
        <v>1692</v>
      </c>
      <c r="C103" s="36" t="s">
        <v>2017</v>
      </c>
      <c r="D103" s="36" t="s">
        <v>2439</v>
      </c>
      <c r="E103" s="37" t="s">
        <v>2099</v>
      </c>
      <c r="F103" s="8" t="s">
        <v>2104</v>
      </c>
      <c r="G103" s="8" t="s">
        <v>2105</v>
      </c>
      <c r="H103" s="8"/>
      <c r="I103" s="8"/>
      <c r="J103" s="8"/>
      <c r="K103" s="38" t="s">
        <v>1644</v>
      </c>
    </row>
    <row r="104" spans="1:11" ht="18.2" customHeight="1" x14ac:dyDescent="0.25">
      <c r="A104" s="1">
        <v>233</v>
      </c>
      <c r="B104" s="8" t="s">
        <v>2106</v>
      </c>
      <c r="C104" s="36" t="s">
        <v>2017</v>
      </c>
      <c r="D104" s="36" t="s">
        <v>2440</v>
      </c>
      <c r="E104" s="37" t="s">
        <v>2099</v>
      </c>
      <c r="F104" s="8" t="s">
        <v>2107</v>
      </c>
      <c r="G104" s="8" t="s">
        <v>2108</v>
      </c>
      <c r="H104" s="8"/>
      <c r="I104" s="8"/>
      <c r="J104" s="8"/>
      <c r="K104" s="38"/>
    </row>
    <row r="105" spans="1:11" ht="18.2" customHeight="1" x14ac:dyDescent="0.25">
      <c r="A105" s="1">
        <v>234</v>
      </c>
      <c r="B105" s="8" t="s">
        <v>2109</v>
      </c>
      <c r="C105" s="36" t="s">
        <v>2017</v>
      </c>
      <c r="D105" s="36" t="s">
        <v>1733</v>
      </c>
      <c r="E105" s="37" t="s">
        <v>2099</v>
      </c>
      <c r="F105" s="8" t="s">
        <v>2110</v>
      </c>
      <c r="G105" s="8" t="s">
        <v>1773</v>
      </c>
      <c r="H105" s="8"/>
      <c r="I105" s="8"/>
      <c r="J105" s="8"/>
      <c r="K105" s="38"/>
    </row>
    <row r="106" spans="1:11" s="46" customFormat="1" ht="18.2" customHeight="1" x14ac:dyDescent="0.25">
      <c r="A106" s="1">
        <v>235</v>
      </c>
      <c r="B106" s="42" t="s">
        <v>663</v>
      </c>
      <c r="C106" s="45" t="s">
        <v>2017</v>
      </c>
      <c r="D106" s="45" t="s">
        <v>1617</v>
      </c>
      <c r="E106" s="45" t="s">
        <v>2111</v>
      </c>
      <c r="F106" s="42" t="s">
        <v>2112</v>
      </c>
      <c r="G106" s="42" t="s">
        <v>1778</v>
      </c>
      <c r="H106" s="42" t="s">
        <v>2113</v>
      </c>
      <c r="I106" s="42" t="s">
        <v>2114</v>
      </c>
      <c r="J106" s="42"/>
      <c r="K106" s="44"/>
    </row>
    <row r="107" spans="1:11" s="46" customFormat="1" ht="18.2" customHeight="1" x14ac:dyDescent="0.25">
      <c r="A107" s="1">
        <v>236</v>
      </c>
      <c r="B107" s="42" t="s">
        <v>2115</v>
      </c>
      <c r="C107" s="45" t="s">
        <v>2017</v>
      </c>
      <c r="D107" s="45" t="s">
        <v>1903</v>
      </c>
      <c r="E107" s="45" t="s">
        <v>2111</v>
      </c>
      <c r="F107" s="42" t="s">
        <v>2079</v>
      </c>
      <c r="G107" s="42" t="s">
        <v>2083</v>
      </c>
      <c r="H107" s="42" t="s">
        <v>2116</v>
      </c>
      <c r="I107" s="42" t="s">
        <v>2117</v>
      </c>
      <c r="J107" s="42"/>
      <c r="K107" s="44"/>
    </row>
    <row r="108" spans="1:11" s="46" customFormat="1" ht="18.2" customHeight="1" x14ac:dyDescent="0.25">
      <c r="A108" s="1">
        <v>237</v>
      </c>
      <c r="B108" s="42" t="s">
        <v>2118</v>
      </c>
      <c r="C108" s="45" t="s">
        <v>2017</v>
      </c>
      <c r="D108" s="45" t="s">
        <v>1981</v>
      </c>
      <c r="E108" s="45" t="s">
        <v>2111</v>
      </c>
      <c r="F108" s="42" t="s">
        <v>2119</v>
      </c>
      <c r="G108" s="42" t="s">
        <v>2083</v>
      </c>
      <c r="H108" s="42" t="s">
        <v>2120</v>
      </c>
      <c r="I108" s="42" t="s">
        <v>2121</v>
      </c>
      <c r="J108" s="42"/>
      <c r="K108" s="44" t="s">
        <v>1644</v>
      </c>
    </row>
    <row r="109" spans="1:11" s="46" customFormat="1" ht="18.2" customHeight="1" x14ac:dyDescent="0.25">
      <c r="A109" s="1">
        <v>238</v>
      </c>
      <c r="B109" s="42" t="s">
        <v>2122</v>
      </c>
      <c r="C109" s="45" t="s">
        <v>2017</v>
      </c>
      <c r="D109" s="45" t="s">
        <v>1981</v>
      </c>
      <c r="E109" s="45" t="s">
        <v>2111</v>
      </c>
      <c r="F109" s="42" t="s">
        <v>1911</v>
      </c>
      <c r="G109" s="42" t="s">
        <v>2083</v>
      </c>
      <c r="H109" s="42" t="s">
        <v>2123</v>
      </c>
      <c r="I109" s="42" t="s">
        <v>2124</v>
      </c>
      <c r="J109" s="42"/>
      <c r="K109" s="47" t="s">
        <v>1644</v>
      </c>
    </row>
    <row r="110" spans="1:11" s="46" customFormat="1" ht="18.2" customHeight="1" x14ac:dyDescent="0.25">
      <c r="A110" s="1">
        <v>239</v>
      </c>
      <c r="B110" s="42" t="s">
        <v>2125</v>
      </c>
      <c r="C110" s="45" t="s">
        <v>2017</v>
      </c>
      <c r="D110" s="45" t="s">
        <v>1690</v>
      </c>
      <c r="E110" s="45" t="s">
        <v>2126</v>
      </c>
      <c r="F110" s="42" t="s">
        <v>2127</v>
      </c>
      <c r="G110" s="42" t="s">
        <v>2128</v>
      </c>
      <c r="H110" s="42" t="s">
        <v>2129</v>
      </c>
      <c r="I110" s="42" t="s">
        <v>599</v>
      </c>
      <c r="J110" s="42"/>
      <c r="K110" s="42" t="s">
        <v>1644</v>
      </c>
    </row>
    <row r="111" spans="1:11" s="46" customFormat="1" ht="18.2" customHeight="1" x14ac:dyDescent="0.25">
      <c r="A111" s="1">
        <v>240</v>
      </c>
      <c r="B111" s="42" t="s">
        <v>2130</v>
      </c>
      <c r="C111" s="45" t="s">
        <v>2017</v>
      </c>
      <c r="D111" s="45" t="s">
        <v>2131</v>
      </c>
      <c r="E111" s="45" t="s">
        <v>2126</v>
      </c>
      <c r="F111" s="48" t="s">
        <v>2132</v>
      </c>
      <c r="G111" s="42" t="s">
        <v>2133</v>
      </c>
      <c r="H111" s="42" t="s">
        <v>2134</v>
      </c>
      <c r="I111" s="42" t="s">
        <v>2135</v>
      </c>
      <c r="J111" s="42"/>
      <c r="K111" s="42"/>
    </row>
    <row r="112" spans="1:11" ht="18.2" customHeight="1" x14ac:dyDescent="0.25">
      <c r="A112" s="1">
        <v>241</v>
      </c>
      <c r="B112" s="8" t="s">
        <v>2136</v>
      </c>
      <c r="C112" s="37" t="s">
        <v>2137</v>
      </c>
      <c r="D112" s="37" t="s">
        <v>1621</v>
      </c>
      <c r="E112" s="37" t="s">
        <v>2138</v>
      </c>
      <c r="F112" s="8" t="s">
        <v>2139</v>
      </c>
      <c r="G112" s="8" t="s">
        <v>1776</v>
      </c>
      <c r="H112" s="8" t="s">
        <v>2441</v>
      </c>
      <c r="I112" s="8"/>
      <c r="J112" s="8"/>
      <c r="K112" s="38" t="s">
        <v>1644</v>
      </c>
    </row>
    <row r="113" spans="1:11" ht="18.2" customHeight="1" x14ac:dyDescent="0.25">
      <c r="A113" s="1">
        <v>242</v>
      </c>
      <c r="B113" s="8" t="s">
        <v>2140</v>
      </c>
      <c r="C113" s="37" t="s">
        <v>2137</v>
      </c>
      <c r="D113" s="37" t="s">
        <v>1697</v>
      </c>
      <c r="E113" s="37" t="s">
        <v>2138</v>
      </c>
      <c r="F113" s="8" t="s">
        <v>2141</v>
      </c>
      <c r="G113" s="8" t="s">
        <v>1797</v>
      </c>
      <c r="H113" s="8" t="s">
        <v>2442</v>
      </c>
      <c r="I113" s="8"/>
      <c r="J113" s="8"/>
      <c r="K113" s="38"/>
    </row>
    <row r="114" spans="1:11" ht="18.2" customHeight="1" x14ac:dyDescent="0.25">
      <c r="A114" s="1">
        <v>243</v>
      </c>
      <c r="B114" s="8" t="s">
        <v>2142</v>
      </c>
      <c r="C114" s="37" t="s">
        <v>2137</v>
      </c>
      <c r="D114" s="37" t="s">
        <v>1722</v>
      </c>
      <c r="E114" s="37" t="s">
        <v>2138</v>
      </c>
      <c r="F114" s="8" t="s">
        <v>2143</v>
      </c>
      <c r="G114" s="8" t="s">
        <v>2076</v>
      </c>
      <c r="H114" s="8" t="s">
        <v>2443</v>
      </c>
      <c r="I114" s="8"/>
      <c r="J114" s="8"/>
      <c r="K114" s="38"/>
    </row>
    <row r="115" spans="1:11" ht="18.2" customHeight="1" x14ac:dyDescent="0.25">
      <c r="A115" s="1">
        <v>244</v>
      </c>
      <c r="B115" s="8" t="s">
        <v>2144</v>
      </c>
      <c r="C115" s="37" t="s">
        <v>2137</v>
      </c>
      <c r="D115" s="37" t="s">
        <v>1652</v>
      </c>
      <c r="E115" s="37" t="s">
        <v>2138</v>
      </c>
      <c r="F115" s="8" t="s">
        <v>2145</v>
      </c>
      <c r="G115" s="8" t="s">
        <v>2146</v>
      </c>
      <c r="H115" s="8" t="s">
        <v>2444</v>
      </c>
      <c r="I115" s="8"/>
      <c r="J115" s="8"/>
      <c r="K115" s="38"/>
    </row>
    <row r="116" spans="1:11" ht="18.2" customHeight="1" x14ac:dyDescent="0.25">
      <c r="A116" s="1">
        <v>245</v>
      </c>
      <c r="B116" s="8" t="s">
        <v>2147</v>
      </c>
      <c r="C116" s="37" t="s">
        <v>2137</v>
      </c>
      <c r="D116" s="37" t="s">
        <v>1764</v>
      </c>
      <c r="E116" s="37" t="s">
        <v>2148</v>
      </c>
      <c r="F116" s="8" t="s">
        <v>2149</v>
      </c>
      <c r="G116" s="8" t="s">
        <v>2150</v>
      </c>
      <c r="H116" s="8" t="s">
        <v>2445</v>
      </c>
      <c r="I116" s="8"/>
      <c r="J116" s="8"/>
      <c r="K116" s="38"/>
    </row>
    <row r="117" spans="1:11" ht="18.2" customHeight="1" x14ac:dyDescent="0.25">
      <c r="A117" s="1">
        <v>246</v>
      </c>
      <c r="B117" s="8" t="s">
        <v>2151</v>
      </c>
      <c r="C117" s="37" t="s">
        <v>2137</v>
      </c>
      <c r="D117" s="37" t="s">
        <v>1634</v>
      </c>
      <c r="E117" s="37" t="s">
        <v>2148</v>
      </c>
      <c r="F117" s="8" t="s">
        <v>2152</v>
      </c>
      <c r="G117" s="8" t="s">
        <v>2153</v>
      </c>
      <c r="H117" s="8" t="s">
        <v>100</v>
      </c>
      <c r="I117" s="8"/>
      <c r="J117" s="8"/>
      <c r="K117" s="38"/>
    </row>
    <row r="118" spans="1:11" ht="18.2" customHeight="1" x14ac:dyDescent="0.25">
      <c r="A118" s="1">
        <v>247</v>
      </c>
      <c r="B118" s="8" t="s">
        <v>2154</v>
      </c>
      <c r="C118" s="37" t="s">
        <v>2137</v>
      </c>
      <c r="D118" s="37" t="s">
        <v>1645</v>
      </c>
      <c r="E118" s="37" t="s">
        <v>2148</v>
      </c>
      <c r="F118" s="8" t="s">
        <v>2155</v>
      </c>
      <c r="G118" s="8" t="s">
        <v>2045</v>
      </c>
      <c r="H118" s="8" t="s">
        <v>1545</v>
      </c>
      <c r="I118" s="8"/>
      <c r="J118" s="8"/>
      <c r="K118" s="38"/>
    </row>
    <row r="119" spans="1:11" ht="18.2" customHeight="1" x14ac:dyDescent="0.25">
      <c r="A119" s="1">
        <v>248</v>
      </c>
      <c r="B119" s="8" t="s">
        <v>2140</v>
      </c>
      <c r="C119" s="37" t="s">
        <v>2137</v>
      </c>
      <c r="D119" s="37" t="s">
        <v>1903</v>
      </c>
      <c r="E119" s="37" t="s">
        <v>2148</v>
      </c>
      <c r="F119" s="8" t="s">
        <v>2156</v>
      </c>
      <c r="G119" s="8" t="s">
        <v>2150</v>
      </c>
      <c r="H119" s="8" t="s">
        <v>406</v>
      </c>
      <c r="I119" s="8"/>
      <c r="J119" s="8"/>
      <c r="K119" s="38" t="s">
        <v>1644</v>
      </c>
    </row>
    <row r="120" spans="1:11" s="46" customFormat="1" ht="18.2" customHeight="1" x14ac:dyDescent="0.25">
      <c r="A120" s="1">
        <v>249</v>
      </c>
      <c r="B120" s="42" t="s">
        <v>2157</v>
      </c>
      <c r="C120" s="45" t="s">
        <v>2137</v>
      </c>
      <c r="D120" s="45" t="s">
        <v>1764</v>
      </c>
      <c r="E120" s="45" t="s">
        <v>2158</v>
      </c>
      <c r="F120" s="42" t="s">
        <v>2159</v>
      </c>
      <c r="G120" s="42" t="s">
        <v>1817</v>
      </c>
      <c r="H120" s="42" t="s">
        <v>2160</v>
      </c>
      <c r="I120" s="42" t="s">
        <v>2161</v>
      </c>
      <c r="J120" s="42"/>
      <c r="K120" s="42"/>
    </row>
    <row r="121" spans="1:11" s="46" customFormat="1" ht="18.2" customHeight="1" x14ac:dyDescent="0.25">
      <c r="A121" s="1">
        <v>250</v>
      </c>
      <c r="B121" s="42" t="s">
        <v>2162</v>
      </c>
      <c r="C121" s="45" t="s">
        <v>2137</v>
      </c>
      <c r="D121" s="45" t="s">
        <v>1703</v>
      </c>
      <c r="E121" s="45" t="s">
        <v>2158</v>
      </c>
      <c r="F121" s="42" t="s">
        <v>2163</v>
      </c>
      <c r="G121" s="42" t="s">
        <v>1817</v>
      </c>
      <c r="H121" s="42" t="s">
        <v>2164</v>
      </c>
      <c r="I121" s="42" t="s">
        <v>2165</v>
      </c>
      <c r="J121" s="42"/>
      <c r="K121" s="42"/>
    </row>
    <row r="122" spans="1:11" s="46" customFormat="1" ht="18.2" customHeight="1" x14ac:dyDescent="0.25">
      <c r="A122" s="1">
        <v>251</v>
      </c>
      <c r="B122" s="42" t="s">
        <v>2166</v>
      </c>
      <c r="C122" s="45" t="s">
        <v>2137</v>
      </c>
      <c r="D122" s="45" t="s">
        <v>1700</v>
      </c>
      <c r="E122" s="45" t="s">
        <v>2158</v>
      </c>
      <c r="F122" s="42" t="s">
        <v>1777</v>
      </c>
      <c r="G122" s="42" t="s">
        <v>2167</v>
      </c>
      <c r="H122" s="42" t="s">
        <v>886</v>
      </c>
      <c r="I122" s="42" t="s">
        <v>2168</v>
      </c>
      <c r="J122" s="42"/>
      <c r="K122" s="42"/>
    </row>
    <row r="123" spans="1:11" s="46" customFormat="1" ht="18.2" customHeight="1" x14ac:dyDescent="0.25">
      <c r="A123" s="1">
        <v>252</v>
      </c>
      <c r="B123" s="42" t="s">
        <v>2169</v>
      </c>
      <c r="C123" s="45" t="s">
        <v>2137</v>
      </c>
      <c r="D123" s="45" t="s">
        <v>1709</v>
      </c>
      <c r="E123" s="45" t="s">
        <v>2158</v>
      </c>
      <c r="F123" s="42" t="s">
        <v>2170</v>
      </c>
      <c r="G123" s="42" t="s">
        <v>2041</v>
      </c>
      <c r="H123" s="42" t="s">
        <v>563</v>
      </c>
      <c r="I123" s="42" t="s">
        <v>537</v>
      </c>
      <c r="J123" s="42"/>
      <c r="K123" s="42"/>
    </row>
    <row r="124" spans="1:11" s="46" customFormat="1" ht="18.2" customHeight="1" x14ac:dyDescent="0.25">
      <c r="A124" s="1">
        <v>253</v>
      </c>
      <c r="B124" s="42" t="s">
        <v>2171</v>
      </c>
      <c r="C124" s="45" t="s">
        <v>2137</v>
      </c>
      <c r="D124" s="45" t="s">
        <v>2172</v>
      </c>
      <c r="E124" s="45" t="s">
        <v>2158</v>
      </c>
      <c r="F124" s="42" t="s">
        <v>2173</v>
      </c>
      <c r="G124" s="42" t="s">
        <v>1991</v>
      </c>
      <c r="H124" s="42" t="s">
        <v>2174</v>
      </c>
      <c r="I124" s="42" t="s">
        <v>2175</v>
      </c>
      <c r="J124" s="42"/>
      <c r="K124" s="42" t="s">
        <v>1644</v>
      </c>
    </row>
    <row r="125" spans="1:11" s="46" customFormat="1" ht="18.2" customHeight="1" x14ac:dyDescent="0.25">
      <c r="A125" s="1">
        <v>254</v>
      </c>
      <c r="B125" s="42" t="s">
        <v>2176</v>
      </c>
      <c r="C125" s="45" t="s">
        <v>2137</v>
      </c>
      <c r="D125" s="45" t="s">
        <v>2177</v>
      </c>
      <c r="E125" s="45" t="s">
        <v>2158</v>
      </c>
      <c r="F125" s="42" t="s">
        <v>2178</v>
      </c>
      <c r="G125" s="42" t="s">
        <v>1965</v>
      </c>
      <c r="H125" s="42" t="s">
        <v>2179</v>
      </c>
      <c r="I125" s="42" t="s">
        <v>2180</v>
      </c>
      <c r="J125" s="42"/>
      <c r="K125" s="42" t="s">
        <v>1644</v>
      </c>
    </row>
    <row r="126" spans="1:11" ht="18.2" customHeight="1" x14ac:dyDescent="0.25">
      <c r="A126" s="1">
        <v>255</v>
      </c>
      <c r="B126" s="8" t="s">
        <v>2446</v>
      </c>
      <c r="C126" s="37" t="s">
        <v>2137</v>
      </c>
      <c r="D126" s="37" t="s">
        <v>1733</v>
      </c>
      <c r="E126" s="37" t="s">
        <v>2181</v>
      </c>
      <c r="F126" s="8" t="s">
        <v>2182</v>
      </c>
      <c r="G126" s="8" t="s">
        <v>2012</v>
      </c>
      <c r="H126" s="8"/>
      <c r="I126" s="8"/>
      <c r="J126" s="8"/>
      <c r="K126" s="8"/>
    </row>
    <row r="127" spans="1:11" ht="18.2" customHeight="1" x14ac:dyDescent="0.25">
      <c r="A127" s="1">
        <v>256</v>
      </c>
      <c r="B127" s="8" t="s">
        <v>2183</v>
      </c>
      <c r="C127" s="37" t="s">
        <v>2137</v>
      </c>
      <c r="D127" s="37" t="s">
        <v>1981</v>
      </c>
      <c r="E127" s="37" t="s">
        <v>2181</v>
      </c>
      <c r="F127" s="8" t="s">
        <v>2184</v>
      </c>
      <c r="G127" s="8" t="s">
        <v>1970</v>
      </c>
      <c r="H127" s="8"/>
      <c r="I127" s="8"/>
      <c r="J127" s="8"/>
      <c r="K127" s="8"/>
    </row>
    <row r="128" spans="1:11" ht="18.2" customHeight="1" x14ac:dyDescent="0.25">
      <c r="A128" s="1">
        <v>257</v>
      </c>
      <c r="B128" s="8" t="s">
        <v>2185</v>
      </c>
      <c r="C128" s="37" t="s">
        <v>2137</v>
      </c>
      <c r="D128" s="37" t="s">
        <v>1981</v>
      </c>
      <c r="E128" s="37" t="s">
        <v>2181</v>
      </c>
      <c r="F128" s="8" t="s">
        <v>2186</v>
      </c>
      <c r="G128" s="8" t="s">
        <v>1781</v>
      </c>
      <c r="H128" s="8"/>
      <c r="I128" s="8"/>
      <c r="J128" s="8"/>
      <c r="K128" s="8"/>
    </row>
    <row r="129" spans="1:11" ht="18.2" customHeight="1" x14ac:dyDescent="0.25">
      <c r="A129" s="1">
        <v>258</v>
      </c>
      <c r="B129" s="8" t="s">
        <v>2187</v>
      </c>
      <c r="C129" s="37" t="s">
        <v>2137</v>
      </c>
      <c r="D129" s="37" t="s">
        <v>2447</v>
      </c>
      <c r="E129" s="37" t="s">
        <v>2181</v>
      </c>
      <c r="F129" s="8" t="s">
        <v>2188</v>
      </c>
      <c r="G129" s="8" t="s">
        <v>2189</v>
      </c>
      <c r="H129" s="8"/>
      <c r="I129" s="8"/>
      <c r="J129" s="8"/>
      <c r="K129" s="8"/>
    </row>
    <row r="130" spans="1:11" ht="18.2" customHeight="1" x14ac:dyDescent="0.25">
      <c r="A130" s="1">
        <v>259</v>
      </c>
      <c r="B130" s="8" t="s">
        <v>2190</v>
      </c>
      <c r="C130" s="37" t="s">
        <v>2137</v>
      </c>
      <c r="D130" s="37" t="s">
        <v>2439</v>
      </c>
      <c r="E130" s="37" t="s">
        <v>2181</v>
      </c>
      <c r="F130" s="8" t="s">
        <v>1951</v>
      </c>
      <c r="G130" s="8" t="s">
        <v>2189</v>
      </c>
      <c r="H130" s="8"/>
      <c r="I130" s="8"/>
      <c r="J130" s="8"/>
      <c r="K130" s="8" t="s">
        <v>1644</v>
      </c>
    </row>
    <row r="131" spans="1:11" ht="18.2" customHeight="1" x14ac:dyDescent="0.25">
      <c r="A131" s="1">
        <v>260</v>
      </c>
      <c r="B131" s="8" t="s">
        <v>2191</v>
      </c>
      <c r="C131" s="37" t="s">
        <v>2137</v>
      </c>
      <c r="D131" s="37" t="s">
        <v>1764</v>
      </c>
      <c r="E131" s="37" t="s">
        <v>2192</v>
      </c>
      <c r="F131" s="8" t="s">
        <v>2193</v>
      </c>
      <c r="G131" s="8" t="s">
        <v>2194</v>
      </c>
      <c r="H131" s="8" t="s">
        <v>713</v>
      </c>
      <c r="I131" s="8" t="s">
        <v>1818</v>
      </c>
      <c r="J131" s="8"/>
      <c r="K131" s="8"/>
    </row>
    <row r="132" spans="1:11" ht="18.2" customHeight="1" x14ac:dyDescent="0.25">
      <c r="A132" s="1">
        <v>261</v>
      </c>
      <c r="B132" s="8" t="s">
        <v>2195</v>
      </c>
      <c r="C132" s="37" t="s">
        <v>2137</v>
      </c>
      <c r="D132" s="37" t="s">
        <v>1743</v>
      </c>
      <c r="E132" s="37" t="s">
        <v>2192</v>
      </c>
      <c r="F132" s="8" t="s">
        <v>2196</v>
      </c>
      <c r="G132" s="8" t="s">
        <v>2194</v>
      </c>
      <c r="H132" s="8" t="s">
        <v>818</v>
      </c>
      <c r="I132" s="8" t="s">
        <v>2448</v>
      </c>
      <c r="J132" s="8"/>
      <c r="K132" s="8"/>
    </row>
    <row r="133" spans="1:11" ht="18.2" customHeight="1" x14ac:dyDescent="0.25">
      <c r="A133" s="1">
        <v>262</v>
      </c>
      <c r="B133" s="8" t="s">
        <v>2197</v>
      </c>
      <c r="C133" s="37" t="s">
        <v>2137</v>
      </c>
      <c r="D133" s="37" t="s">
        <v>1986</v>
      </c>
      <c r="E133" s="37" t="s">
        <v>2192</v>
      </c>
      <c r="F133" s="8" t="s">
        <v>2198</v>
      </c>
      <c r="G133" s="8" t="s">
        <v>2199</v>
      </c>
      <c r="H133" s="8"/>
      <c r="I133" s="8"/>
      <c r="J133" s="8"/>
      <c r="K133" s="8" t="s">
        <v>1644</v>
      </c>
    </row>
    <row r="134" spans="1:11" ht="18.2" customHeight="1" x14ac:dyDescent="0.25">
      <c r="A134" s="1">
        <v>263</v>
      </c>
      <c r="B134" s="8" t="s">
        <v>2200</v>
      </c>
      <c r="C134" s="37" t="s">
        <v>2137</v>
      </c>
      <c r="D134" s="37" t="s">
        <v>1617</v>
      </c>
      <c r="E134" s="37" t="s">
        <v>2201</v>
      </c>
      <c r="F134" s="8" t="s">
        <v>2202</v>
      </c>
      <c r="G134" s="8" t="s">
        <v>2203</v>
      </c>
      <c r="H134" s="8" t="s">
        <v>2449</v>
      </c>
      <c r="I134" s="8" t="s">
        <v>2450</v>
      </c>
      <c r="J134" s="8"/>
      <c r="K134" s="38"/>
    </row>
    <row r="135" spans="1:11" ht="18.2" customHeight="1" x14ac:dyDescent="0.25">
      <c r="A135" s="1">
        <v>264</v>
      </c>
      <c r="B135" s="8" t="s">
        <v>2204</v>
      </c>
      <c r="C135" s="37" t="s">
        <v>2137</v>
      </c>
      <c r="D135" s="37" t="s">
        <v>1981</v>
      </c>
      <c r="E135" s="37" t="s">
        <v>2201</v>
      </c>
      <c r="F135" s="8" t="s">
        <v>2205</v>
      </c>
      <c r="G135" s="8" t="s">
        <v>2076</v>
      </c>
      <c r="H135" s="8" t="s">
        <v>1183</v>
      </c>
      <c r="I135" s="8" t="s">
        <v>2451</v>
      </c>
      <c r="J135" s="8"/>
      <c r="K135" s="38"/>
    </row>
    <row r="136" spans="1:11" ht="18.2" customHeight="1" x14ac:dyDescent="0.25">
      <c r="A136" s="1">
        <v>265</v>
      </c>
      <c r="B136" s="8" t="s">
        <v>2452</v>
      </c>
      <c r="C136" s="37" t="s">
        <v>2137</v>
      </c>
      <c r="D136" s="37" t="s">
        <v>1643</v>
      </c>
      <c r="E136" s="37" t="s">
        <v>2201</v>
      </c>
      <c r="F136" s="8" t="s">
        <v>2453</v>
      </c>
      <c r="G136" s="8" t="s">
        <v>2454</v>
      </c>
      <c r="H136" s="8" t="s">
        <v>2455</v>
      </c>
      <c r="I136" s="8" t="s">
        <v>920</v>
      </c>
      <c r="J136" s="8"/>
      <c r="K136" s="38"/>
    </row>
    <row r="137" spans="1:11" ht="18.2" customHeight="1" x14ac:dyDescent="0.25">
      <c r="A137" s="1">
        <v>266</v>
      </c>
      <c r="B137" s="8" t="s">
        <v>2206</v>
      </c>
      <c r="C137" s="37" t="s">
        <v>2137</v>
      </c>
      <c r="D137" s="37" t="s">
        <v>1981</v>
      </c>
      <c r="E137" s="37" t="s">
        <v>2201</v>
      </c>
      <c r="F137" s="8" t="s">
        <v>2207</v>
      </c>
      <c r="G137" s="8" t="s">
        <v>2208</v>
      </c>
      <c r="H137" s="8" t="s">
        <v>2456</v>
      </c>
      <c r="I137" s="8" t="s">
        <v>2457</v>
      </c>
      <c r="J137" s="8"/>
      <c r="K137" s="38"/>
    </row>
    <row r="138" spans="1:11" s="46" customFormat="1" ht="18.2" customHeight="1" x14ac:dyDescent="0.25">
      <c r="A138" s="1">
        <v>267</v>
      </c>
      <c r="B138" s="42" t="s">
        <v>2209</v>
      </c>
      <c r="C138" s="45" t="s">
        <v>2137</v>
      </c>
      <c r="D138" s="45" t="s">
        <v>1690</v>
      </c>
      <c r="E138" s="45" t="s">
        <v>2210</v>
      </c>
      <c r="F138" s="42" t="s">
        <v>2211</v>
      </c>
      <c r="G138" s="42" t="s">
        <v>2076</v>
      </c>
      <c r="H138" s="42" t="s">
        <v>945</v>
      </c>
      <c r="I138" s="42" t="s">
        <v>2212</v>
      </c>
      <c r="J138" s="42"/>
      <c r="K138" s="44"/>
    </row>
    <row r="139" spans="1:11" s="46" customFormat="1" ht="18.2" customHeight="1" x14ac:dyDescent="0.25">
      <c r="A139" s="1">
        <v>268</v>
      </c>
      <c r="B139" s="42" t="s">
        <v>2213</v>
      </c>
      <c r="C139" s="45" t="s">
        <v>2137</v>
      </c>
      <c r="D139" s="45" t="s">
        <v>1722</v>
      </c>
      <c r="E139" s="45" t="s">
        <v>2210</v>
      </c>
      <c r="F139" s="49" t="s">
        <v>2214</v>
      </c>
      <c r="G139" s="42" t="s">
        <v>2215</v>
      </c>
      <c r="H139" s="42" t="s">
        <v>2216</v>
      </c>
      <c r="I139" s="42" t="s">
        <v>133</v>
      </c>
      <c r="J139" s="42"/>
      <c r="K139" s="44" t="s">
        <v>1803</v>
      </c>
    </row>
    <row r="140" spans="1:11" s="46" customFormat="1" ht="18.2" customHeight="1" x14ac:dyDescent="0.25">
      <c r="A140" s="1">
        <v>269</v>
      </c>
      <c r="B140" s="42" t="s">
        <v>2217</v>
      </c>
      <c r="C140" s="45" t="s">
        <v>2137</v>
      </c>
      <c r="D140" s="45" t="s">
        <v>2218</v>
      </c>
      <c r="E140" s="45" t="s">
        <v>2210</v>
      </c>
      <c r="F140" s="42" t="s">
        <v>2219</v>
      </c>
      <c r="G140" s="42" t="s">
        <v>2220</v>
      </c>
      <c r="H140" s="42" t="s">
        <v>2221</v>
      </c>
      <c r="I140" s="42" t="s">
        <v>274</v>
      </c>
      <c r="J140" s="42"/>
      <c r="K140" s="44" t="s">
        <v>1644</v>
      </c>
    </row>
    <row r="141" spans="1:11" ht="18.2" customHeight="1" x14ac:dyDescent="0.25">
      <c r="A141" s="1">
        <v>270</v>
      </c>
      <c r="B141" s="8" t="s">
        <v>2222</v>
      </c>
      <c r="C141" s="37" t="s">
        <v>2137</v>
      </c>
      <c r="D141" s="37" t="s">
        <v>1690</v>
      </c>
      <c r="E141" s="37" t="s">
        <v>2223</v>
      </c>
      <c r="F141" s="8" t="s">
        <v>2224</v>
      </c>
      <c r="G141" s="8" t="s">
        <v>1873</v>
      </c>
      <c r="H141" s="8"/>
      <c r="I141" s="8"/>
      <c r="J141" s="8"/>
      <c r="K141" s="38"/>
    </row>
    <row r="142" spans="1:11" ht="18.2" customHeight="1" x14ac:dyDescent="0.25">
      <c r="A142" s="1">
        <v>271</v>
      </c>
      <c r="B142" s="8" t="s">
        <v>2225</v>
      </c>
      <c r="C142" s="37" t="s">
        <v>2137</v>
      </c>
      <c r="D142" s="37" t="s">
        <v>2458</v>
      </c>
      <c r="E142" s="37" t="s">
        <v>2226</v>
      </c>
      <c r="F142" s="8" t="s">
        <v>2007</v>
      </c>
      <c r="G142" s="8" t="s">
        <v>1970</v>
      </c>
      <c r="H142" s="8" t="s">
        <v>1084</v>
      </c>
      <c r="I142" s="8" t="s">
        <v>1946</v>
      </c>
      <c r="J142" s="8"/>
      <c r="K142" s="38" t="s">
        <v>1803</v>
      </c>
    </row>
    <row r="143" spans="1:11" ht="18.2" customHeight="1" x14ac:dyDescent="0.25">
      <c r="A143" s="1">
        <v>272</v>
      </c>
      <c r="B143" s="8" t="s">
        <v>2227</v>
      </c>
      <c r="C143" s="37" t="s">
        <v>2137</v>
      </c>
      <c r="D143" s="37" t="s">
        <v>1733</v>
      </c>
      <c r="E143" s="37" t="s">
        <v>2226</v>
      </c>
      <c r="F143" s="8" t="s">
        <v>2228</v>
      </c>
      <c r="G143" s="8" t="s">
        <v>1817</v>
      </c>
      <c r="H143" s="8" t="s">
        <v>2459</v>
      </c>
      <c r="I143" s="8" t="s">
        <v>2460</v>
      </c>
      <c r="J143" s="8"/>
      <c r="K143" s="38"/>
    </row>
    <row r="144" spans="1:11" ht="18.2" customHeight="1" x14ac:dyDescent="0.25">
      <c r="A144" s="1">
        <v>273</v>
      </c>
      <c r="B144" s="8" t="s">
        <v>2229</v>
      </c>
      <c r="C144" s="37" t="s">
        <v>2137</v>
      </c>
      <c r="D144" s="37" t="s">
        <v>1690</v>
      </c>
      <c r="E144" s="37" t="s">
        <v>2230</v>
      </c>
      <c r="F144" s="8" t="s">
        <v>2231</v>
      </c>
      <c r="G144" s="8" t="s">
        <v>1781</v>
      </c>
      <c r="H144" s="8" t="s">
        <v>442</v>
      </c>
      <c r="I144" s="8" t="s">
        <v>1248</v>
      </c>
      <c r="J144" s="8"/>
      <c r="K144" s="38"/>
    </row>
    <row r="145" spans="1:11" ht="18.2" customHeight="1" x14ac:dyDescent="0.25">
      <c r="A145" s="1">
        <v>274</v>
      </c>
      <c r="B145" s="8" t="s">
        <v>2232</v>
      </c>
      <c r="C145" s="37" t="s">
        <v>2137</v>
      </c>
      <c r="D145" s="37" t="s">
        <v>1722</v>
      </c>
      <c r="E145" s="37" t="s">
        <v>2230</v>
      </c>
      <c r="F145" s="8" t="s">
        <v>2233</v>
      </c>
      <c r="G145" s="8" t="s">
        <v>2234</v>
      </c>
      <c r="H145" s="8" t="s">
        <v>2015</v>
      </c>
      <c r="I145" s="8" t="s">
        <v>2461</v>
      </c>
      <c r="J145" s="8"/>
      <c r="K145" s="38"/>
    </row>
    <row r="146" spans="1:11" ht="18.2" customHeight="1" x14ac:dyDescent="0.25">
      <c r="A146" s="1">
        <v>275</v>
      </c>
      <c r="B146" s="8" t="s">
        <v>2235</v>
      </c>
      <c r="C146" s="37" t="s">
        <v>2137</v>
      </c>
      <c r="D146" s="37" t="s">
        <v>1722</v>
      </c>
      <c r="E146" s="37" t="s">
        <v>2230</v>
      </c>
      <c r="F146" s="8" t="s">
        <v>2236</v>
      </c>
      <c r="G146" s="8" t="s">
        <v>1770</v>
      </c>
      <c r="H146" s="8" t="s">
        <v>1810</v>
      </c>
      <c r="I146" s="8" t="s">
        <v>2462</v>
      </c>
      <c r="J146" s="8"/>
      <c r="K146" s="38"/>
    </row>
    <row r="147" spans="1:11" ht="18.2" customHeight="1" x14ac:dyDescent="0.25">
      <c r="A147" s="1">
        <v>276</v>
      </c>
      <c r="B147" s="8" t="s">
        <v>2237</v>
      </c>
      <c r="C147" s="37" t="s">
        <v>2137</v>
      </c>
      <c r="D147" s="37" t="s">
        <v>1705</v>
      </c>
      <c r="E147" s="37" t="s">
        <v>2230</v>
      </c>
      <c r="F147" s="8" t="s">
        <v>2238</v>
      </c>
      <c r="G147" s="8" t="s">
        <v>1776</v>
      </c>
      <c r="H147" s="8" t="s">
        <v>2463</v>
      </c>
      <c r="I147" s="8" t="s">
        <v>1829</v>
      </c>
      <c r="J147" s="8"/>
      <c r="K147" s="38" t="s">
        <v>1644</v>
      </c>
    </row>
    <row r="148" spans="1:11" ht="18.2" customHeight="1" x14ac:dyDescent="0.25">
      <c r="A148" s="1">
        <v>277</v>
      </c>
      <c r="B148" s="8" t="s">
        <v>2239</v>
      </c>
      <c r="C148" s="37" t="s">
        <v>2137</v>
      </c>
      <c r="D148" s="37" t="s">
        <v>1624</v>
      </c>
      <c r="E148" s="37" t="s">
        <v>2230</v>
      </c>
      <c r="F148" s="8" t="s">
        <v>2240</v>
      </c>
      <c r="G148" s="8" t="s">
        <v>2052</v>
      </c>
      <c r="H148" s="8" t="s">
        <v>2464</v>
      </c>
      <c r="I148" s="8" t="s">
        <v>182</v>
      </c>
      <c r="J148" s="8"/>
      <c r="K148" s="38" t="s">
        <v>1644</v>
      </c>
    </row>
    <row r="149" spans="1:11" s="46" customFormat="1" ht="18.2" customHeight="1" x14ac:dyDescent="0.25">
      <c r="A149" s="1">
        <v>278</v>
      </c>
      <c r="B149" s="42" t="s">
        <v>2241</v>
      </c>
      <c r="C149" s="45" t="s">
        <v>2137</v>
      </c>
      <c r="D149" s="45" t="s">
        <v>1764</v>
      </c>
      <c r="E149" s="45" t="s">
        <v>2242</v>
      </c>
      <c r="F149" s="42" t="s">
        <v>2243</v>
      </c>
      <c r="G149" s="42" t="s">
        <v>2244</v>
      </c>
      <c r="H149" s="42" t="s">
        <v>2245</v>
      </c>
      <c r="I149" s="42" t="s">
        <v>1839</v>
      </c>
      <c r="J149" s="42"/>
      <c r="K149" s="42"/>
    </row>
    <row r="150" spans="1:11" s="46" customFormat="1" ht="18.2" customHeight="1" x14ac:dyDescent="0.25">
      <c r="A150" s="1">
        <v>279</v>
      </c>
      <c r="B150" s="42" t="s">
        <v>2246</v>
      </c>
      <c r="C150" s="45" t="s">
        <v>2137</v>
      </c>
      <c r="D150" s="45" t="s">
        <v>1705</v>
      </c>
      <c r="E150" s="45" t="s">
        <v>2242</v>
      </c>
      <c r="F150" s="42" t="s">
        <v>2247</v>
      </c>
      <c r="G150" s="42" t="s">
        <v>2248</v>
      </c>
      <c r="H150" s="42" t="s">
        <v>2249</v>
      </c>
      <c r="I150" s="42" t="s">
        <v>2250</v>
      </c>
      <c r="J150" s="42"/>
      <c r="K150" s="42"/>
    </row>
    <row r="151" spans="1:11" s="46" customFormat="1" ht="18.2" customHeight="1" x14ac:dyDescent="0.25">
      <c r="A151" s="1">
        <v>280</v>
      </c>
      <c r="B151" s="42" t="s">
        <v>2251</v>
      </c>
      <c r="C151" s="45" t="s">
        <v>2137</v>
      </c>
      <c r="D151" s="45" t="s">
        <v>2252</v>
      </c>
      <c r="E151" s="45" t="s">
        <v>2242</v>
      </c>
      <c r="F151" s="42" t="s">
        <v>2253</v>
      </c>
      <c r="G151" s="42" t="s">
        <v>2248</v>
      </c>
      <c r="H151" s="42" t="s">
        <v>2254</v>
      </c>
      <c r="I151" s="42" t="s">
        <v>1977</v>
      </c>
      <c r="J151" s="42"/>
      <c r="K151" s="42"/>
    </row>
    <row r="152" spans="1:11" s="46" customFormat="1" ht="18.2" customHeight="1" x14ac:dyDescent="0.25">
      <c r="A152" s="1">
        <v>281</v>
      </c>
      <c r="B152" s="42" t="s">
        <v>1795</v>
      </c>
      <c r="C152" s="45" t="s">
        <v>2137</v>
      </c>
      <c r="D152" s="45" t="s">
        <v>2255</v>
      </c>
      <c r="E152" s="45" t="s">
        <v>2242</v>
      </c>
      <c r="F152" s="42" t="s">
        <v>1840</v>
      </c>
      <c r="G152" s="42" t="s">
        <v>2248</v>
      </c>
      <c r="H152" s="42" t="s">
        <v>2256</v>
      </c>
      <c r="I152" s="42" t="s">
        <v>2257</v>
      </c>
      <c r="J152" s="42"/>
      <c r="K152" s="42"/>
    </row>
    <row r="153" spans="1:11" s="46" customFormat="1" ht="18.2" customHeight="1" x14ac:dyDescent="0.25">
      <c r="A153" s="1">
        <v>282</v>
      </c>
      <c r="B153" s="42" t="s">
        <v>2258</v>
      </c>
      <c r="C153" s="45" t="s">
        <v>2137</v>
      </c>
      <c r="D153" s="45" t="s">
        <v>2054</v>
      </c>
      <c r="E153" s="45" t="s">
        <v>2242</v>
      </c>
      <c r="F153" s="42" t="s">
        <v>2259</v>
      </c>
      <c r="G153" s="42" t="s">
        <v>2248</v>
      </c>
      <c r="H153" s="42" t="s">
        <v>2260</v>
      </c>
      <c r="I153" s="42" t="s">
        <v>2261</v>
      </c>
      <c r="J153" s="42"/>
      <c r="K153" s="42" t="s">
        <v>1644</v>
      </c>
    </row>
    <row r="154" spans="1:11" ht="18.2" customHeight="1" x14ac:dyDescent="0.25">
      <c r="A154" s="1">
        <v>283</v>
      </c>
      <c r="B154" s="8" t="s">
        <v>2262</v>
      </c>
      <c r="C154" s="37" t="s">
        <v>2137</v>
      </c>
      <c r="D154" s="37" t="s">
        <v>1764</v>
      </c>
      <c r="E154" s="37" t="s">
        <v>2263</v>
      </c>
      <c r="F154" s="8" t="s">
        <v>1941</v>
      </c>
      <c r="G154" s="8" t="s">
        <v>2248</v>
      </c>
      <c r="H154" s="8" t="s">
        <v>2465</v>
      </c>
      <c r="I154" s="8" t="s">
        <v>2466</v>
      </c>
      <c r="J154" s="8"/>
      <c r="K154" s="38"/>
    </row>
    <row r="155" spans="1:11" ht="18.2" customHeight="1" x14ac:dyDescent="0.25">
      <c r="A155" s="1">
        <v>284</v>
      </c>
      <c r="B155" s="8" t="s">
        <v>2264</v>
      </c>
      <c r="C155" s="37" t="s">
        <v>2137</v>
      </c>
      <c r="D155" s="37" t="s">
        <v>2467</v>
      </c>
      <c r="E155" s="37" t="s">
        <v>2263</v>
      </c>
      <c r="F155" s="8" t="s">
        <v>2265</v>
      </c>
      <c r="G155" s="8" t="s">
        <v>2008</v>
      </c>
      <c r="H155" s="8" t="s">
        <v>2468</v>
      </c>
      <c r="I155" s="8" t="s">
        <v>2469</v>
      </c>
      <c r="J155" s="8"/>
      <c r="K155" s="38"/>
    </row>
    <row r="156" spans="1:11" ht="18.2" customHeight="1" x14ac:dyDescent="0.25">
      <c r="A156" s="1">
        <v>285</v>
      </c>
      <c r="B156" s="8" t="s">
        <v>2266</v>
      </c>
      <c r="C156" s="37" t="s">
        <v>2137</v>
      </c>
      <c r="D156" s="37" t="s">
        <v>1801</v>
      </c>
      <c r="E156" s="37" t="s">
        <v>2263</v>
      </c>
      <c r="F156" s="8" t="s">
        <v>2267</v>
      </c>
      <c r="G156" s="8" t="s">
        <v>2045</v>
      </c>
      <c r="H156" s="8" t="s">
        <v>2470</v>
      </c>
      <c r="I156" s="8" t="s">
        <v>2471</v>
      </c>
      <c r="J156" s="8"/>
      <c r="K156" s="38"/>
    </row>
    <row r="157" spans="1:11" ht="18.2" customHeight="1" x14ac:dyDescent="0.25">
      <c r="A157" s="1">
        <v>286</v>
      </c>
      <c r="B157" s="8" t="s">
        <v>2268</v>
      </c>
      <c r="C157" s="37" t="s">
        <v>2137</v>
      </c>
      <c r="D157" s="37" t="s">
        <v>1624</v>
      </c>
      <c r="E157" s="37" t="s">
        <v>2263</v>
      </c>
      <c r="F157" s="8" t="s">
        <v>2269</v>
      </c>
      <c r="G157" s="8" t="s">
        <v>1770</v>
      </c>
      <c r="H157" s="8" t="s">
        <v>249</v>
      </c>
      <c r="I157" s="8" t="s">
        <v>2472</v>
      </c>
      <c r="J157" s="8"/>
      <c r="K157" s="38"/>
    </row>
    <row r="158" spans="1:11" ht="18.2" customHeight="1" x14ac:dyDescent="0.25">
      <c r="A158" s="1">
        <v>287</v>
      </c>
      <c r="B158" s="8" t="s">
        <v>2270</v>
      </c>
      <c r="C158" s="37" t="s">
        <v>2137</v>
      </c>
      <c r="D158" s="37" t="s">
        <v>1634</v>
      </c>
      <c r="E158" s="37" t="s">
        <v>2271</v>
      </c>
      <c r="F158" s="8" t="s">
        <v>2272</v>
      </c>
      <c r="G158" s="8" t="s">
        <v>1619</v>
      </c>
      <c r="H158" s="8" t="s">
        <v>2473</v>
      </c>
      <c r="I158" s="8"/>
      <c r="J158" s="8"/>
      <c r="K158" s="38"/>
    </row>
    <row r="159" spans="1:11" ht="18.2" customHeight="1" x14ac:dyDescent="0.25">
      <c r="A159" s="1">
        <v>288</v>
      </c>
      <c r="B159" s="8" t="s">
        <v>2273</v>
      </c>
      <c r="C159" s="37" t="s">
        <v>2137</v>
      </c>
      <c r="D159" s="37" t="s">
        <v>1634</v>
      </c>
      <c r="E159" s="37" t="s">
        <v>2271</v>
      </c>
      <c r="F159" s="8" t="s">
        <v>2141</v>
      </c>
      <c r="G159" s="8" t="s">
        <v>1619</v>
      </c>
      <c r="H159" s="8" t="s">
        <v>2474</v>
      </c>
      <c r="I159" s="8"/>
      <c r="J159" s="8"/>
      <c r="K159" s="38"/>
    </row>
    <row r="160" spans="1:11" ht="18.2" customHeight="1" x14ac:dyDescent="0.25">
      <c r="A160" s="1">
        <v>289</v>
      </c>
      <c r="B160" s="8" t="s">
        <v>2274</v>
      </c>
      <c r="C160" s="36" t="s">
        <v>2275</v>
      </c>
      <c r="D160" s="36" t="s">
        <v>1764</v>
      </c>
      <c r="E160" s="37" t="s">
        <v>2276</v>
      </c>
      <c r="F160" s="38" t="s">
        <v>2277</v>
      </c>
      <c r="G160" s="38" t="s">
        <v>1781</v>
      </c>
      <c r="H160" s="38" t="s">
        <v>2475</v>
      </c>
      <c r="I160" s="38" t="s">
        <v>138</v>
      </c>
      <c r="J160" s="38"/>
      <c r="K160" s="38"/>
    </row>
    <row r="161" spans="1:11" ht="18.2" customHeight="1" x14ac:dyDescent="0.25">
      <c r="A161" s="1">
        <v>290</v>
      </c>
      <c r="B161" s="8" t="s">
        <v>2278</v>
      </c>
      <c r="C161" s="36" t="s">
        <v>2275</v>
      </c>
      <c r="D161" s="36" t="s">
        <v>1762</v>
      </c>
      <c r="E161" s="37" t="s">
        <v>2276</v>
      </c>
      <c r="F161" s="38" t="s">
        <v>2279</v>
      </c>
      <c r="G161" s="38" t="s">
        <v>1781</v>
      </c>
      <c r="H161" s="38" t="s">
        <v>2476</v>
      </c>
      <c r="I161" s="38" t="s">
        <v>1829</v>
      </c>
      <c r="J161" s="38"/>
      <c r="K161" s="38"/>
    </row>
    <row r="162" spans="1:11" ht="18.2" customHeight="1" x14ac:dyDescent="0.25">
      <c r="A162" s="1">
        <v>291</v>
      </c>
      <c r="B162" s="8" t="s">
        <v>2280</v>
      </c>
      <c r="C162" s="36" t="s">
        <v>2275</v>
      </c>
      <c r="D162" s="36" t="s">
        <v>2177</v>
      </c>
      <c r="E162" s="37" t="s">
        <v>2276</v>
      </c>
      <c r="F162" s="38" t="s">
        <v>1826</v>
      </c>
      <c r="G162" s="38" t="s">
        <v>1781</v>
      </c>
      <c r="H162" s="38" t="s">
        <v>100</v>
      </c>
      <c r="I162" s="38" t="s">
        <v>2477</v>
      </c>
      <c r="J162" s="38"/>
      <c r="K162" s="38"/>
    </row>
    <row r="163" spans="1:11" ht="18.2" customHeight="1" x14ac:dyDescent="0.25">
      <c r="A163" s="1">
        <v>292</v>
      </c>
      <c r="B163" s="8" t="s">
        <v>2281</v>
      </c>
      <c r="C163" s="36" t="s">
        <v>2275</v>
      </c>
      <c r="D163" s="36" t="s">
        <v>1709</v>
      </c>
      <c r="E163" s="37" t="s">
        <v>2276</v>
      </c>
      <c r="F163" s="38" t="s">
        <v>2282</v>
      </c>
      <c r="G163" s="38" t="s">
        <v>1781</v>
      </c>
      <c r="H163" s="38" t="s">
        <v>2478</v>
      </c>
      <c r="I163" s="38" t="s">
        <v>668</v>
      </c>
      <c r="J163" s="38"/>
      <c r="K163" s="38"/>
    </row>
    <row r="164" spans="1:11" ht="18.2" customHeight="1" x14ac:dyDescent="0.25">
      <c r="A164" s="1">
        <v>293</v>
      </c>
      <c r="B164" s="8" t="s">
        <v>2283</v>
      </c>
      <c r="C164" s="36" t="s">
        <v>2275</v>
      </c>
      <c r="D164" s="36" t="s">
        <v>2411</v>
      </c>
      <c r="E164" s="37" t="s">
        <v>2276</v>
      </c>
      <c r="F164" s="38" t="s">
        <v>2284</v>
      </c>
      <c r="G164" s="38" t="s">
        <v>1781</v>
      </c>
      <c r="H164" s="38" t="s">
        <v>1860</v>
      </c>
      <c r="I164" s="38" t="s">
        <v>2479</v>
      </c>
      <c r="J164" s="38"/>
      <c r="K164" s="38"/>
    </row>
    <row r="165" spans="1:11" ht="18.2" customHeight="1" x14ac:dyDescent="0.25">
      <c r="A165" s="1">
        <v>294</v>
      </c>
      <c r="B165" s="8" t="s">
        <v>2285</v>
      </c>
      <c r="C165" s="36" t="s">
        <v>2275</v>
      </c>
      <c r="D165" s="36" t="s">
        <v>2480</v>
      </c>
      <c r="E165" s="37" t="s">
        <v>2276</v>
      </c>
      <c r="F165" s="38" t="s">
        <v>2286</v>
      </c>
      <c r="G165" s="38" t="s">
        <v>2287</v>
      </c>
      <c r="H165" s="38" t="s">
        <v>2481</v>
      </c>
      <c r="I165" s="38" t="s">
        <v>2482</v>
      </c>
      <c r="J165" s="38"/>
      <c r="K165" s="38"/>
    </row>
    <row r="166" spans="1:11" ht="18.2" customHeight="1" x14ac:dyDescent="0.25">
      <c r="A166" s="1">
        <v>295</v>
      </c>
      <c r="B166" s="8" t="s">
        <v>2288</v>
      </c>
      <c r="C166" s="36" t="s">
        <v>2275</v>
      </c>
      <c r="D166" s="36" t="s">
        <v>1624</v>
      </c>
      <c r="E166" s="37" t="s">
        <v>2289</v>
      </c>
      <c r="F166" s="38" t="s">
        <v>2290</v>
      </c>
      <c r="G166" s="38" t="s">
        <v>1684</v>
      </c>
      <c r="H166" s="38" t="s">
        <v>2483</v>
      </c>
      <c r="I166" s="38" t="s">
        <v>2484</v>
      </c>
      <c r="J166" s="38"/>
      <c r="K166" s="38"/>
    </row>
    <row r="167" spans="1:11" ht="18.2" customHeight="1" x14ac:dyDescent="0.25">
      <c r="A167" s="1">
        <v>296</v>
      </c>
      <c r="B167" s="8" t="s">
        <v>2291</v>
      </c>
      <c r="C167" s="36" t="s">
        <v>2275</v>
      </c>
      <c r="D167" s="36" t="s">
        <v>1722</v>
      </c>
      <c r="E167" s="37" t="s">
        <v>2289</v>
      </c>
      <c r="F167" s="38" t="s">
        <v>2292</v>
      </c>
      <c r="G167" s="38" t="s">
        <v>1684</v>
      </c>
      <c r="H167" s="38" t="s">
        <v>181</v>
      </c>
      <c r="I167" s="38" t="s">
        <v>2485</v>
      </c>
      <c r="J167" s="38"/>
      <c r="K167" s="38"/>
    </row>
    <row r="168" spans="1:11" ht="18.2" customHeight="1" x14ac:dyDescent="0.25">
      <c r="A168" s="1">
        <v>297</v>
      </c>
      <c r="B168" s="8" t="s">
        <v>2293</v>
      </c>
      <c r="C168" s="36" t="s">
        <v>2275</v>
      </c>
      <c r="D168" s="36" t="s">
        <v>1703</v>
      </c>
      <c r="E168" s="37" t="s">
        <v>2289</v>
      </c>
      <c r="F168" s="38" t="s">
        <v>2294</v>
      </c>
      <c r="G168" s="38" t="s">
        <v>1684</v>
      </c>
      <c r="H168" s="38" t="s">
        <v>2486</v>
      </c>
      <c r="I168" s="38" t="s">
        <v>2487</v>
      </c>
      <c r="J168" s="38"/>
      <c r="K168" s="38"/>
    </row>
    <row r="169" spans="1:11" ht="18.2" customHeight="1" x14ac:dyDescent="0.25">
      <c r="A169" s="1">
        <v>298</v>
      </c>
      <c r="B169" s="8" t="s">
        <v>2295</v>
      </c>
      <c r="C169" s="36" t="s">
        <v>2275</v>
      </c>
      <c r="D169" s="36" t="s">
        <v>1805</v>
      </c>
      <c r="E169" s="37" t="s">
        <v>2289</v>
      </c>
      <c r="F169" s="38" t="s">
        <v>2296</v>
      </c>
      <c r="G169" s="38" t="s">
        <v>2297</v>
      </c>
      <c r="H169" s="38" t="s">
        <v>199</v>
      </c>
      <c r="I169" s="38" t="s">
        <v>2488</v>
      </c>
      <c r="J169" s="38"/>
      <c r="K169" s="38"/>
    </row>
    <row r="170" spans="1:11" ht="18.2" customHeight="1" x14ac:dyDescent="0.25">
      <c r="A170" s="1">
        <v>299</v>
      </c>
      <c r="B170" s="8" t="s">
        <v>2298</v>
      </c>
      <c r="C170" s="36" t="s">
        <v>2275</v>
      </c>
      <c r="D170" s="36" t="s">
        <v>1709</v>
      </c>
      <c r="E170" s="37" t="s">
        <v>2289</v>
      </c>
      <c r="F170" s="38" t="s">
        <v>2299</v>
      </c>
      <c r="G170" s="38" t="s">
        <v>1684</v>
      </c>
      <c r="H170" s="38" t="s">
        <v>2489</v>
      </c>
      <c r="I170" s="38" t="s">
        <v>2490</v>
      </c>
      <c r="J170" s="38"/>
      <c r="K170" s="38"/>
    </row>
    <row r="171" spans="1:11" ht="18.2" customHeight="1" x14ac:dyDescent="0.25">
      <c r="A171" s="1">
        <v>300</v>
      </c>
      <c r="B171" s="8" t="s">
        <v>2300</v>
      </c>
      <c r="C171" s="36" t="s">
        <v>2275</v>
      </c>
      <c r="D171" s="36" t="s">
        <v>2491</v>
      </c>
      <c r="E171" s="1" t="s">
        <v>2301</v>
      </c>
      <c r="F171" s="8" t="s">
        <v>2302</v>
      </c>
      <c r="G171" s="8" t="s">
        <v>2215</v>
      </c>
      <c r="H171" s="8" t="s">
        <v>2492</v>
      </c>
      <c r="I171" s="8" t="s">
        <v>2493</v>
      </c>
      <c r="J171" s="8"/>
      <c r="K171" s="38"/>
    </row>
    <row r="172" spans="1:11" ht="18.2" customHeight="1" x14ac:dyDescent="0.25">
      <c r="A172" s="1">
        <v>301</v>
      </c>
      <c r="B172" s="8" t="s">
        <v>2303</v>
      </c>
      <c r="C172" s="36" t="s">
        <v>2275</v>
      </c>
      <c r="D172" s="36" t="s">
        <v>2439</v>
      </c>
      <c r="E172" s="1" t="s">
        <v>2301</v>
      </c>
      <c r="F172" s="8" t="s">
        <v>2304</v>
      </c>
      <c r="G172" s="8" t="s">
        <v>2215</v>
      </c>
      <c r="H172" s="8" t="s">
        <v>2494</v>
      </c>
      <c r="I172" s="8" t="s">
        <v>1788</v>
      </c>
      <c r="J172" s="8"/>
      <c r="K172" s="38"/>
    </row>
    <row r="173" spans="1:11" ht="18.2" customHeight="1" x14ac:dyDescent="0.25">
      <c r="A173" s="1">
        <v>302</v>
      </c>
      <c r="B173" s="8" t="s">
        <v>2305</v>
      </c>
      <c r="C173" s="36" t="s">
        <v>2275</v>
      </c>
      <c r="D173" s="36"/>
      <c r="E173" s="1" t="s">
        <v>2301</v>
      </c>
      <c r="F173" s="8" t="s">
        <v>2306</v>
      </c>
      <c r="G173" s="8" t="s">
        <v>2215</v>
      </c>
      <c r="H173" s="8" t="s">
        <v>2495</v>
      </c>
      <c r="I173" s="8" t="s">
        <v>2496</v>
      </c>
      <c r="J173" s="8"/>
      <c r="K173" s="38"/>
    </row>
    <row r="174" spans="1:11" ht="18.2" customHeight="1" x14ac:dyDescent="0.25">
      <c r="A174" s="1">
        <v>303</v>
      </c>
      <c r="B174" s="8" t="s">
        <v>2307</v>
      </c>
      <c r="C174" s="36" t="s">
        <v>2275</v>
      </c>
      <c r="D174" s="36" t="s">
        <v>2439</v>
      </c>
      <c r="E174" s="1" t="s">
        <v>2301</v>
      </c>
      <c r="F174" s="8" t="s">
        <v>2308</v>
      </c>
      <c r="G174" s="8" t="s">
        <v>2309</v>
      </c>
      <c r="H174" s="8" t="s">
        <v>2494</v>
      </c>
      <c r="I174" s="8" t="s">
        <v>2497</v>
      </c>
      <c r="J174" s="8"/>
      <c r="K174" s="38" t="s">
        <v>1803</v>
      </c>
    </row>
    <row r="175" spans="1:11" ht="18.2" customHeight="1" x14ac:dyDescent="0.25">
      <c r="A175" s="1">
        <v>304</v>
      </c>
      <c r="B175" s="8" t="s">
        <v>2310</v>
      </c>
      <c r="C175" s="36" t="s">
        <v>2275</v>
      </c>
      <c r="D175" s="36" t="s">
        <v>2439</v>
      </c>
      <c r="E175" s="1" t="s">
        <v>2301</v>
      </c>
      <c r="F175" s="8" t="s">
        <v>2311</v>
      </c>
      <c r="G175" s="8" t="s">
        <v>2312</v>
      </c>
      <c r="H175" s="8" t="s">
        <v>1800</v>
      </c>
      <c r="I175" s="8" t="s">
        <v>2498</v>
      </c>
      <c r="J175" s="8"/>
      <c r="K175" s="38"/>
    </row>
    <row r="176" spans="1:11" ht="18.2" customHeight="1" x14ac:dyDescent="0.25">
      <c r="A176" s="1">
        <v>305</v>
      </c>
      <c r="B176" s="8" t="s">
        <v>2313</v>
      </c>
      <c r="C176" s="36" t="s">
        <v>2275</v>
      </c>
      <c r="D176" s="36" t="s">
        <v>2437</v>
      </c>
      <c r="E176" s="1" t="s">
        <v>2301</v>
      </c>
      <c r="F176" s="8" t="s">
        <v>2314</v>
      </c>
      <c r="G176" s="8" t="s">
        <v>2315</v>
      </c>
      <c r="H176" s="8" t="s">
        <v>2499</v>
      </c>
      <c r="I176" s="8" t="s">
        <v>2500</v>
      </c>
      <c r="J176" s="8"/>
      <c r="K176" s="38"/>
    </row>
    <row r="177" spans="1:11" ht="18.2" customHeight="1" x14ac:dyDescent="0.25">
      <c r="A177" s="1">
        <v>306</v>
      </c>
      <c r="B177" s="8" t="s">
        <v>2501</v>
      </c>
      <c r="C177" s="36" t="s">
        <v>2275</v>
      </c>
      <c r="D177" s="36" t="s">
        <v>1764</v>
      </c>
      <c r="E177" s="1" t="s">
        <v>2316</v>
      </c>
      <c r="F177" s="8" t="s">
        <v>2317</v>
      </c>
      <c r="G177" s="8" t="s">
        <v>1630</v>
      </c>
      <c r="H177" s="8" t="s">
        <v>199</v>
      </c>
      <c r="I177" s="8" t="s">
        <v>2028</v>
      </c>
      <c r="J177" s="8"/>
      <c r="K177" s="38"/>
    </row>
    <row r="178" spans="1:11" ht="18.2" customHeight="1" x14ac:dyDescent="0.25">
      <c r="A178" s="1">
        <v>307</v>
      </c>
      <c r="B178" s="8" t="s">
        <v>2318</v>
      </c>
      <c r="C178" s="36" t="s">
        <v>2275</v>
      </c>
      <c r="D178" s="36" t="s">
        <v>1697</v>
      </c>
      <c r="E178" s="1" t="s">
        <v>2316</v>
      </c>
      <c r="F178" s="8" t="s">
        <v>1674</v>
      </c>
      <c r="G178" s="8" t="s">
        <v>2319</v>
      </c>
      <c r="H178" s="8" t="s">
        <v>635</v>
      </c>
      <c r="I178" s="8" t="s">
        <v>2502</v>
      </c>
      <c r="J178" s="8"/>
      <c r="K178" s="38"/>
    </row>
    <row r="179" spans="1:11" ht="18.2" customHeight="1" x14ac:dyDescent="0.25">
      <c r="A179" s="1">
        <v>308</v>
      </c>
      <c r="B179" s="8" t="s">
        <v>2320</v>
      </c>
      <c r="C179" s="36" t="s">
        <v>2275</v>
      </c>
      <c r="D179" s="36" t="s">
        <v>1634</v>
      </c>
      <c r="E179" s="1" t="s">
        <v>2316</v>
      </c>
      <c r="F179" s="8" t="s">
        <v>2321</v>
      </c>
      <c r="G179" s="8" t="s">
        <v>2322</v>
      </c>
      <c r="H179" s="8" t="s">
        <v>2503</v>
      </c>
      <c r="I179" s="8" t="s">
        <v>1352</v>
      </c>
      <c r="J179" s="8"/>
      <c r="K179" s="38"/>
    </row>
    <row r="180" spans="1:11" ht="18.2" customHeight="1" x14ac:dyDescent="0.25">
      <c r="A180" s="1">
        <v>309</v>
      </c>
      <c r="B180" s="8" t="s">
        <v>2504</v>
      </c>
      <c r="C180" s="36" t="s">
        <v>2275</v>
      </c>
      <c r="D180" s="36" t="s">
        <v>1621</v>
      </c>
      <c r="E180" s="1" t="s">
        <v>2316</v>
      </c>
      <c r="F180" s="8" t="s">
        <v>2505</v>
      </c>
      <c r="G180" s="8" t="s">
        <v>2052</v>
      </c>
      <c r="H180" s="8" t="s">
        <v>2506</v>
      </c>
      <c r="I180" s="8" t="s">
        <v>2507</v>
      </c>
      <c r="J180" s="8"/>
      <c r="K180" s="38"/>
    </row>
    <row r="181" spans="1:11" ht="18.2" customHeight="1" x14ac:dyDescent="0.25">
      <c r="A181" s="1">
        <v>310</v>
      </c>
      <c r="B181" s="8" t="s">
        <v>2508</v>
      </c>
      <c r="C181" s="36" t="s">
        <v>2275</v>
      </c>
      <c r="D181" s="36" t="s">
        <v>2509</v>
      </c>
      <c r="E181" s="1" t="s">
        <v>2316</v>
      </c>
      <c r="F181" s="8" t="s">
        <v>2323</v>
      </c>
      <c r="G181" s="8" t="s">
        <v>2324</v>
      </c>
      <c r="H181" s="8" t="s">
        <v>2510</v>
      </c>
      <c r="I181" s="8" t="s">
        <v>1839</v>
      </c>
      <c r="J181" s="8"/>
      <c r="K181" s="38"/>
    </row>
    <row r="182" spans="1:11" ht="18.2" customHeight="1" x14ac:dyDescent="0.25">
      <c r="A182" s="1">
        <v>311</v>
      </c>
      <c r="B182" s="8" t="s">
        <v>2325</v>
      </c>
      <c r="C182" s="36" t="s">
        <v>2275</v>
      </c>
      <c r="D182" s="36" t="s">
        <v>1634</v>
      </c>
      <c r="E182" s="1" t="s">
        <v>2326</v>
      </c>
      <c r="F182" s="8" t="s">
        <v>2327</v>
      </c>
      <c r="G182" s="8" t="s">
        <v>2328</v>
      </c>
      <c r="H182" s="8" t="s">
        <v>2511</v>
      </c>
      <c r="I182" s="8" t="s">
        <v>2512</v>
      </c>
      <c r="J182" s="8"/>
      <c r="K182" s="38"/>
    </row>
    <row r="183" spans="1:11" ht="18.2" customHeight="1" x14ac:dyDescent="0.25">
      <c r="A183" s="1">
        <v>312</v>
      </c>
      <c r="B183" s="8" t="s">
        <v>2329</v>
      </c>
      <c r="C183" s="36" t="s">
        <v>2275</v>
      </c>
      <c r="D183" s="36" t="s">
        <v>1634</v>
      </c>
      <c r="E183" s="1" t="s">
        <v>2326</v>
      </c>
      <c r="F183" s="4" t="s">
        <v>2327</v>
      </c>
      <c r="G183" s="8" t="s">
        <v>2328</v>
      </c>
      <c r="H183" s="8" t="s">
        <v>2511</v>
      </c>
      <c r="I183" s="8" t="s">
        <v>2512</v>
      </c>
      <c r="J183" s="8"/>
      <c r="K183" s="38"/>
    </row>
    <row r="184" spans="1:11" ht="18.2" customHeight="1" x14ac:dyDescent="0.25">
      <c r="A184" s="1">
        <v>313</v>
      </c>
      <c r="B184" s="8" t="s">
        <v>2330</v>
      </c>
      <c r="C184" s="36" t="s">
        <v>2275</v>
      </c>
      <c r="D184" s="36" t="s">
        <v>1634</v>
      </c>
      <c r="E184" s="1" t="s">
        <v>2326</v>
      </c>
      <c r="F184" s="8" t="s">
        <v>2331</v>
      </c>
      <c r="G184" s="8" t="s">
        <v>2332</v>
      </c>
      <c r="H184" s="8" t="s">
        <v>137</v>
      </c>
      <c r="I184" s="8" t="s">
        <v>2513</v>
      </c>
      <c r="J184" s="8"/>
      <c r="K184" s="38"/>
    </row>
    <row r="185" spans="1:11" ht="18.2" customHeight="1" x14ac:dyDescent="0.25">
      <c r="A185" s="1">
        <v>314</v>
      </c>
      <c r="B185" s="8" t="s">
        <v>2333</v>
      </c>
      <c r="C185" s="36" t="s">
        <v>2275</v>
      </c>
      <c r="D185" s="36" t="s">
        <v>1805</v>
      </c>
      <c r="E185" s="1" t="s">
        <v>2326</v>
      </c>
      <c r="F185" s="8" t="s">
        <v>2334</v>
      </c>
      <c r="G185" s="8" t="s">
        <v>2335</v>
      </c>
      <c r="H185" s="8" t="s">
        <v>2514</v>
      </c>
      <c r="I185" s="8" t="s">
        <v>2515</v>
      </c>
      <c r="J185" s="8"/>
      <c r="K185" s="38"/>
    </row>
    <row r="186" spans="1:11" ht="18.2" customHeight="1" x14ac:dyDescent="0.25">
      <c r="A186" s="1">
        <v>315</v>
      </c>
      <c r="B186" s="8" t="s">
        <v>2336</v>
      </c>
      <c r="C186" s="36" t="s">
        <v>2275</v>
      </c>
      <c r="D186" s="36" t="s">
        <v>1709</v>
      </c>
      <c r="E186" s="1" t="s">
        <v>2326</v>
      </c>
      <c r="F186" s="8" t="s">
        <v>2337</v>
      </c>
      <c r="G186" s="8" t="s">
        <v>1942</v>
      </c>
      <c r="H186" s="8" t="s">
        <v>2516</v>
      </c>
      <c r="I186" s="8" t="s">
        <v>992</v>
      </c>
      <c r="J186" s="8"/>
      <c r="K186" s="38"/>
    </row>
    <row r="187" spans="1:11" ht="18.2" customHeight="1" x14ac:dyDescent="0.25">
      <c r="A187" s="1">
        <v>316</v>
      </c>
      <c r="B187" s="8" t="s">
        <v>2338</v>
      </c>
      <c r="C187" s="36" t="s">
        <v>2275</v>
      </c>
      <c r="D187" s="36" t="s">
        <v>1690</v>
      </c>
      <c r="E187" s="1" t="s">
        <v>2326</v>
      </c>
      <c r="F187" s="8" t="s">
        <v>2339</v>
      </c>
      <c r="G187" s="8" t="s">
        <v>1766</v>
      </c>
      <c r="H187" s="8" t="s">
        <v>2517</v>
      </c>
      <c r="I187" s="8" t="s">
        <v>2518</v>
      </c>
      <c r="J187" s="8"/>
      <c r="K187" s="38"/>
    </row>
    <row r="188" spans="1:11" ht="18.2" customHeight="1" x14ac:dyDescent="0.25">
      <c r="A188" s="1">
        <v>317</v>
      </c>
      <c r="B188" s="8" t="s">
        <v>2340</v>
      </c>
      <c r="C188" s="36" t="s">
        <v>2275</v>
      </c>
      <c r="D188" s="36" t="s">
        <v>1634</v>
      </c>
      <c r="E188" s="1" t="s">
        <v>2326</v>
      </c>
      <c r="F188" s="8" t="s">
        <v>2341</v>
      </c>
      <c r="G188" s="8" t="s">
        <v>1776</v>
      </c>
      <c r="H188" s="8" t="s">
        <v>2519</v>
      </c>
      <c r="I188" s="8" t="s">
        <v>2520</v>
      </c>
      <c r="J188" s="8"/>
      <c r="K188" s="38"/>
    </row>
    <row r="189" spans="1:11" ht="18.2" customHeight="1" x14ac:dyDescent="0.25">
      <c r="A189" s="1">
        <v>318</v>
      </c>
      <c r="B189" s="8" t="s">
        <v>2342</v>
      </c>
      <c r="C189" s="36" t="s">
        <v>2275</v>
      </c>
      <c r="D189" s="36" t="s">
        <v>1764</v>
      </c>
      <c r="E189" s="1" t="s">
        <v>2343</v>
      </c>
      <c r="F189" s="8" t="s">
        <v>2344</v>
      </c>
      <c r="G189" s="8" t="s">
        <v>1667</v>
      </c>
      <c r="H189" s="8" t="s">
        <v>2521</v>
      </c>
      <c r="I189" s="8" t="s">
        <v>2522</v>
      </c>
      <c r="J189" s="8"/>
      <c r="K189" s="38"/>
    </row>
    <row r="190" spans="1:11" ht="18.2" customHeight="1" x14ac:dyDescent="0.25">
      <c r="A190" s="1">
        <v>319</v>
      </c>
      <c r="B190" s="8" t="s">
        <v>2345</v>
      </c>
      <c r="C190" s="36" t="s">
        <v>2275</v>
      </c>
      <c r="D190" s="36" t="s">
        <v>1634</v>
      </c>
      <c r="E190" s="1" t="s">
        <v>2343</v>
      </c>
      <c r="F190" s="8" t="s">
        <v>2346</v>
      </c>
      <c r="G190" s="8" t="s">
        <v>1730</v>
      </c>
      <c r="H190" s="8" t="s">
        <v>2523</v>
      </c>
      <c r="I190" s="8" t="s">
        <v>1830</v>
      </c>
      <c r="J190" s="8"/>
      <c r="K190" s="38"/>
    </row>
    <row r="191" spans="1:11" ht="18.2" customHeight="1" x14ac:dyDescent="0.25">
      <c r="A191" s="1">
        <v>320</v>
      </c>
      <c r="B191" s="8" t="s">
        <v>2347</v>
      </c>
      <c r="C191" s="36" t="s">
        <v>2275</v>
      </c>
      <c r="D191" s="36" t="s">
        <v>1634</v>
      </c>
      <c r="E191" s="1" t="s">
        <v>2343</v>
      </c>
      <c r="F191" s="8" t="s">
        <v>2348</v>
      </c>
      <c r="G191" s="8" t="s">
        <v>1636</v>
      </c>
      <c r="H191" s="8" t="s">
        <v>2524</v>
      </c>
      <c r="I191" s="8" t="s">
        <v>2525</v>
      </c>
      <c r="J191" s="8"/>
      <c r="K191" s="38"/>
    </row>
    <row r="192" spans="1:11" ht="18.2" customHeight="1" x14ac:dyDescent="0.25">
      <c r="A192" s="1">
        <v>321</v>
      </c>
      <c r="B192" s="8" t="s">
        <v>2349</v>
      </c>
      <c r="C192" s="36" t="s">
        <v>2275</v>
      </c>
      <c r="D192" s="36" t="s">
        <v>1634</v>
      </c>
      <c r="E192" s="1" t="s">
        <v>2350</v>
      </c>
      <c r="F192" s="8" t="s">
        <v>2351</v>
      </c>
      <c r="G192" s="8" t="s">
        <v>2352</v>
      </c>
      <c r="H192" s="8" t="s">
        <v>2526</v>
      </c>
      <c r="I192" s="8" t="s">
        <v>2527</v>
      </c>
      <c r="J192" s="8"/>
      <c r="K192" s="38"/>
    </row>
    <row r="193" spans="1:11" ht="18.2" customHeight="1" x14ac:dyDescent="0.25">
      <c r="A193" s="1">
        <v>322</v>
      </c>
      <c r="B193" s="8" t="s">
        <v>2353</v>
      </c>
      <c r="C193" s="36" t="s">
        <v>2275</v>
      </c>
      <c r="D193" s="36" t="s">
        <v>2528</v>
      </c>
      <c r="E193" s="1" t="s">
        <v>2350</v>
      </c>
      <c r="F193" s="8" t="s">
        <v>2354</v>
      </c>
      <c r="G193" s="8" t="s">
        <v>2355</v>
      </c>
      <c r="H193" s="8" t="s">
        <v>2529</v>
      </c>
      <c r="I193" s="8" t="s">
        <v>2530</v>
      </c>
      <c r="J193" s="8"/>
      <c r="K193" s="38"/>
    </row>
    <row r="194" spans="1:11" ht="18.2" customHeight="1" x14ac:dyDescent="0.25">
      <c r="A194" s="1">
        <v>323</v>
      </c>
      <c r="B194" s="8" t="s">
        <v>2356</v>
      </c>
      <c r="C194" s="36" t="s">
        <v>2275</v>
      </c>
      <c r="D194" s="36"/>
      <c r="E194" s="1" t="s">
        <v>2350</v>
      </c>
      <c r="F194" s="8" t="s">
        <v>2357</v>
      </c>
      <c r="G194" s="8" t="s">
        <v>2358</v>
      </c>
      <c r="H194" s="8" t="s">
        <v>2531</v>
      </c>
      <c r="I194" s="8" t="s">
        <v>329</v>
      </c>
      <c r="J194" s="8"/>
      <c r="K194" s="38"/>
    </row>
    <row r="195" spans="1:11" ht="18.2" customHeight="1" x14ac:dyDescent="0.25">
      <c r="A195" s="1">
        <v>324</v>
      </c>
      <c r="B195" s="8" t="s">
        <v>2359</v>
      </c>
      <c r="C195" s="36" t="s">
        <v>2275</v>
      </c>
      <c r="D195" s="36" t="s">
        <v>1643</v>
      </c>
      <c r="E195" s="1" t="s">
        <v>2350</v>
      </c>
      <c r="F195" s="8" t="s">
        <v>2360</v>
      </c>
      <c r="G195" s="8" t="s">
        <v>2361</v>
      </c>
      <c r="H195" s="8" t="s">
        <v>477</v>
      </c>
      <c r="I195" s="8" t="s">
        <v>2532</v>
      </c>
      <c r="J195" s="8"/>
      <c r="K195" s="38"/>
    </row>
    <row r="196" spans="1:11" ht="18.2" customHeight="1" x14ac:dyDescent="0.25">
      <c r="A196" s="1">
        <v>325</v>
      </c>
      <c r="B196" s="8" t="s">
        <v>2362</v>
      </c>
      <c r="C196" s="36" t="s">
        <v>2275</v>
      </c>
      <c r="D196" s="36" t="s">
        <v>1624</v>
      </c>
      <c r="E196" s="1" t="s">
        <v>2363</v>
      </c>
      <c r="F196" s="8" t="s">
        <v>1723</v>
      </c>
      <c r="G196" s="8" t="s">
        <v>1667</v>
      </c>
      <c r="H196" s="8" t="s">
        <v>2533</v>
      </c>
      <c r="I196" s="8" t="s">
        <v>2534</v>
      </c>
      <c r="J196" s="8"/>
      <c r="K196" s="38"/>
    </row>
    <row r="197" spans="1:11" ht="18.2" customHeight="1" x14ac:dyDescent="0.25">
      <c r="A197" s="1">
        <v>326</v>
      </c>
      <c r="B197" s="8" t="s">
        <v>2364</v>
      </c>
      <c r="C197" s="36" t="s">
        <v>2275</v>
      </c>
      <c r="D197" s="36" t="s">
        <v>1621</v>
      </c>
      <c r="E197" s="1" t="s">
        <v>2363</v>
      </c>
      <c r="F197" s="8" t="s">
        <v>2365</v>
      </c>
      <c r="G197" s="8" t="s">
        <v>1636</v>
      </c>
      <c r="H197" s="8" t="s">
        <v>2022</v>
      </c>
      <c r="I197" s="8" t="s">
        <v>2535</v>
      </c>
      <c r="J197" s="8"/>
      <c r="K197" s="38"/>
    </row>
    <row r="198" spans="1:11" ht="18.2" customHeight="1" x14ac:dyDescent="0.25">
      <c r="A198" s="1">
        <v>327</v>
      </c>
      <c r="B198" s="8" t="s">
        <v>2366</v>
      </c>
      <c r="C198" s="36" t="s">
        <v>2275</v>
      </c>
      <c r="D198" s="36" t="s">
        <v>1697</v>
      </c>
      <c r="E198" s="1" t="s">
        <v>2367</v>
      </c>
      <c r="F198" s="8" t="s">
        <v>2368</v>
      </c>
      <c r="G198" s="8" t="s">
        <v>1792</v>
      </c>
      <c r="H198" s="8" t="s">
        <v>2536</v>
      </c>
      <c r="I198" s="8" t="s">
        <v>599</v>
      </c>
      <c r="J198" s="8"/>
      <c r="K198" s="38"/>
    </row>
    <row r="199" spans="1:11" ht="18.2" customHeight="1" x14ac:dyDescent="0.25">
      <c r="A199" s="1">
        <v>328</v>
      </c>
      <c r="B199" s="8" t="s">
        <v>2191</v>
      </c>
      <c r="C199" s="36" t="s">
        <v>2275</v>
      </c>
      <c r="D199" s="36" t="s">
        <v>2424</v>
      </c>
      <c r="E199" s="1" t="s">
        <v>2367</v>
      </c>
      <c r="F199" s="8" t="s">
        <v>2369</v>
      </c>
      <c r="G199" s="8" t="s">
        <v>1698</v>
      </c>
      <c r="H199" s="8" t="s">
        <v>2537</v>
      </c>
      <c r="I199" s="8" t="s">
        <v>2538</v>
      </c>
      <c r="J199" s="8"/>
      <c r="K199" s="38"/>
    </row>
    <row r="200" spans="1:11" ht="18.2" customHeight="1" x14ac:dyDescent="0.25">
      <c r="A200" s="1">
        <v>329</v>
      </c>
      <c r="B200" s="8" t="s">
        <v>2370</v>
      </c>
      <c r="C200" s="37" t="s">
        <v>2371</v>
      </c>
      <c r="D200" s="37" t="s">
        <v>1703</v>
      </c>
      <c r="E200" s="37" t="s">
        <v>2372</v>
      </c>
      <c r="F200" s="8" t="s">
        <v>2373</v>
      </c>
      <c r="G200" s="8" t="s">
        <v>1873</v>
      </c>
      <c r="H200" s="8" t="s">
        <v>2374</v>
      </c>
      <c r="I200" s="8"/>
      <c r="J200" s="8"/>
      <c r="K200" s="38"/>
    </row>
    <row r="201" spans="1:11" ht="18.2" customHeight="1" x14ac:dyDescent="0.25">
      <c r="A201" s="1">
        <v>330</v>
      </c>
      <c r="B201" s="8" t="s">
        <v>2375</v>
      </c>
      <c r="C201" s="37" t="s">
        <v>2371</v>
      </c>
      <c r="D201" s="37" t="s">
        <v>2376</v>
      </c>
      <c r="E201" s="37" t="s">
        <v>2372</v>
      </c>
      <c r="F201" s="8" t="s">
        <v>2377</v>
      </c>
      <c r="G201" s="8" t="s">
        <v>2378</v>
      </c>
      <c r="H201" s="8" t="s">
        <v>2379</v>
      </c>
      <c r="I201" s="8"/>
      <c r="J201" s="8"/>
      <c r="K201" s="38"/>
    </row>
    <row r="202" spans="1:11" ht="18.2" customHeight="1" x14ac:dyDescent="0.25">
      <c r="A202" s="1">
        <v>331</v>
      </c>
      <c r="B202" s="8" t="s">
        <v>2380</v>
      </c>
      <c r="C202" s="37" t="s">
        <v>2371</v>
      </c>
      <c r="D202" s="37" t="s">
        <v>1764</v>
      </c>
      <c r="E202" s="37" t="s">
        <v>2372</v>
      </c>
      <c r="F202" s="8" t="s">
        <v>2381</v>
      </c>
      <c r="G202" s="8" t="s">
        <v>2382</v>
      </c>
      <c r="H202" s="8" t="s">
        <v>1005</v>
      </c>
      <c r="I202" s="8"/>
      <c r="J202" s="8"/>
      <c r="K202" s="38"/>
    </row>
    <row r="203" spans="1:11" ht="18.2" customHeight="1" x14ac:dyDescent="0.25">
      <c r="A203" s="1">
        <v>332</v>
      </c>
      <c r="B203" s="8" t="s">
        <v>2383</v>
      </c>
      <c r="C203" s="37" t="s">
        <v>2371</v>
      </c>
      <c r="D203" s="37" t="s">
        <v>1697</v>
      </c>
      <c r="E203" s="37" t="s">
        <v>2384</v>
      </c>
      <c r="F203" s="8" t="s">
        <v>2385</v>
      </c>
      <c r="G203" s="8" t="s">
        <v>2386</v>
      </c>
      <c r="H203" s="8" t="s">
        <v>2387</v>
      </c>
      <c r="I203" s="8"/>
      <c r="J203" s="8"/>
      <c r="K203" s="38"/>
    </row>
    <row r="204" spans="1:11" ht="18.2" customHeight="1" x14ac:dyDescent="0.25">
      <c r="A204" s="1">
        <v>333</v>
      </c>
      <c r="B204" s="8" t="s">
        <v>2388</v>
      </c>
      <c r="C204" s="37" t="s">
        <v>2371</v>
      </c>
      <c r="D204" s="37" t="s">
        <v>1690</v>
      </c>
      <c r="E204" s="37" t="s">
        <v>2384</v>
      </c>
      <c r="F204" s="8" t="s">
        <v>2389</v>
      </c>
      <c r="G204" s="8" t="s">
        <v>1746</v>
      </c>
      <c r="H204" s="8" t="s">
        <v>295</v>
      </c>
      <c r="I204" s="8"/>
      <c r="J204" s="8"/>
      <c r="K204" s="38"/>
    </row>
    <row r="205" spans="1:11" ht="18.2" customHeight="1" x14ac:dyDescent="0.25">
      <c r="A205" s="1">
        <v>334</v>
      </c>
      <c r="B205" s="8" t="s">
        <v>2390</v>
      </c>
      <c r="C205" s="37" t="s">
        <v>2371</v>
      </c>
      <c r="D205" s="37" t="s">
        <v>1624</v>
      </c>
      <c r="E205" s="37" t="s">
        <v>2384</v>
      </c>
      <c r="F205" s="8" t="s">
        <v>2391</v>
      </c>
      <c r="G205" s="8" t="s">
        <v>2392</v>
      </c>
      <c r="H205" s="8" t="s">
        <v>2393</v>
      </c>
      <c r="I205" s="8"/>
      <c r="J205" s="8"/>
      <c r="K205" s="38"/>
    </row>
    <row r="206" spans="1:11" ht="18.2" customHeight="1" x14ac:dyDescent="0.25">
      <c r="A206" s="1">
        <v>335</v>
      </c>
      <c r="B206" s="8" t="s">
        <v>2394</v>
      </c>
      <c r="C206" s="37" t="s">
        <v>2371</v>
      </c>
      <c r="D206" s="37" t="s">
        <v>1700</v>
      </c>
      <c r="E206" s="37" t="s">
        <v>2384</v>
      </c>
      <c r="F206" s="8" t="s">
        <v>2395</v>
      </c>
      <c r="G206" s="8" t="s">
        <v>2396</v>
      </c>
      <c r="H206" s="8" t="s">
        <v>2397</v>
      </c>
      <c r="I206" s="8"/>
      <c r="J206" s="8"/>
      <c r="K206" s="38"/>
    </row>
    <row r="207" spans="1:11" ht="18.2" customHeight="1" x14ac:dyDescent="0.25">
      <c r="A207" s="1">
        <v>336</v>
      </c>
      <c r="B207" s="8" t="s">
        <v>2398</v>
      </c>
      <c r="C207" s="37" t="s">
        <v>2371</v>
      </c>
      <c r="D207" s="37" t="s">
        <v>1722</v>
      </c>
      <c r="E207" s="37" t="s">
        <v>2384</v>
      </c>
      <c r="F207" s="8" t="s">
        <v>2399</v>
      </c>
      <c r="G207" s="8" t="s">
        <v>1773</v>
      </c>
      <c r="H207" s="8" t="s">
        <v>745</v>
      </c>
      <c r="I207" s="8"/>
      <c r="J207" s="8"/>
      <c r="K207" s="38"/>
    </row>
    <row r="208" spans="1:11" ht="18.2" customHeight="1" x14ac:dyDescent="0.25">
      <c r="A208" s="1">
        <v>337</v>
      </c>
      <c r="B208" s="8" t="s">
        <v>2400</v>
      </c>
      <c r="C208" s="37" t="s">
        <v>2371</v>
      </c>
      <c r="D208" s="37" t="s">
        <v>1697</v>
      </c>
      <c r="E208" s="37" t="s">
        <v>2384</v>
      </c>
      <c r="F208" s="8" t="s">
        <v>2401</v>
      </c>
      <c r="G208" s="8" t="s">
        <v>2402</v>
      </c>
      <c r="H208" s="8" t="s">
        <v>2403</v>
      </c>
      <c r="I208" s="8"/>
      <c r="J208" s="8"/>
      <c r="K208" s="38"/>
    </row>
    <row r="209" spans="1:11" ht="18.2" customHeight="1" x14ac:dyDescent="0.25">
      <c r="A209" s="1">
        <v>338</v>
      </c>
      <c r="B209" s="8" t="s">
        <v>2404</v>
      </c>
      <c r="C209" s="37" t="s">
        <v>2371</v>
      </c>
      <c r="D209" s="37" t="s">
        <v>1624</v>
      </c>
      <c r="E209" s="37" t="s">
        <v>2384</v>
      </c>
      <c r="F209" s="8" t="s">
        <v>2405</v>
      </c>
      <c r="G209" s="8" t="s">
        <v>1776</v>
      </c>
      <c r="H209" s="8" t="s">
        <v>2406</v>
      </c>
      <c r="I209" s="8"/>
      <c r="J209" s="8"/>
      <c r="K209" s="38"/>
    </row>
    <row r="210" spans="1:11" ht="18.2" customHeight="1" x14ac:dyDescent="0.25">
      <c r="A210" s="1">
        <v>339</v>
      </c>
      <c r="B210" s="8" t="s">
        <v>2407</v>
      </c>
      <c r="C210" s="37" t="s">
        <v>2371</v>
      </c>
      <c r="D210" s="37" t="s">
        <v>1895</v>
      </c>
      <c r="E210" s="37" t="s">
        <v>2384</v>
      </c>
      <c r="F210" s="8" t="s">
        <v>2408</v>
      </c>
      <c r="G210" s="8" t="s">
        <v>1776</v>
      </c>
      <c r="H210" s="8" t="s">
        <v>2409</v>
      </c>
      <c r="I210" s="8"/>
      <c r="J210" s="8"/>
      <c r="K210" s="38"/>
    </row>
    <row r="211" spans="1:11" ht="18.2" customHeight="1" x14ac:dyDescent="0.25">
      <c r="A211" s="1">
        <v>340</v>
      </c>
      <c r="B211" s="8" t="s">
        <v>2410</v>
      </c>
      <c r="C211" s="37" t="s">
        <v>2371</v>
      </c>
      <c r="D211" s="37" t="s">
        <v>2411</v>
      </c>
      <c r="E211" s="37" t="s">
        <v>2412</v>
      </c>
      <c r="F211" s="8" t="s">
        <v>2413</v>
      </c>
      <c r="G211" s="8" t="s">
        <v>2414</v>
      </c>
      <c r="H211" s="8" t="s">
        <v>2415</v>
      </c>
      <c r="I211" s="8"/>
      <c r="J211" s="8"/>
      <c r="K211" s="38"/>
    </row>
    <row r="212" spans="1:11" ht="18.2" customHeight="1" x14ac:dyDescent="0.25">
      <c r="A212" s="1">
        <v>341</v>
      </c>
      <c r="B212" s="8" t="s">
        <v>2416</v>
      </c>
      <c r="C212" s="37" t="s">
        <v>2371</v>
      </c>
      <c r="D212" s="37" t="s">
        <v>1690</v>
      </c>
      <c r="E212" s="37" t="s">
        <v>2412</v>
      </c>
      <c r="F212" s="8" t="s">
        <v>2417</v>
      </c>
      <c r="G212" s="8" t="s">
        <v>1792</v>
      </c>
      <c r="H212" s="8" t="s">
        <v>2418</v>
      </c>
      <c r="I212" s="8"/>
      <c r="J212" s="8"/>
      <c r="K212" s="38"/>
    </row>
    <row r="213" spans="1:11" ht="18.2" customHeight="1" x14ac:dyDescent="0.25">
      <c r="A213" s="1">
        <v>342</v>
      </c>
      <c r="B213" s="8" t="s">
        <v>2419</v>
      </c>
      <c r="C213" s="37" t="s">
        <v>2371</v>
      </c>
      <c r="D213" s="37" t="s">
        <v>1895</v>
      </c>
      <c r="E213" s="37" t="s">
        <v>2412</v>
      </c>
      <c r="F213" s="8" t="s">
        <v>2420</v>
      </c>
      <c r="G213" s="8" t="s">
        <v>2421</v>
      </c>
      <c r="H213" s="8" t="s">
        <v>2422</v>
      </c>
      <c r="I213" s="8"/>
      <c r="J213" s="8"/>
      <c r="K213" s="38"/>
    </row>
    <row r="214" spans="1:11" ht="18.2" customHeight="1" x14ac:dyDescent="0.25">
      <c r="A214" s="1">
        <v>343</v>
      </c>
      <c r="B214" s="8" t="s">
        <v>2423</v>
      </c>
      <c r="C214" s="37" t="s">
        <v>2371</v>
      </c>
      <c r="D214" s="37" t="s">
        <v>2424</v>
      </c>
      <c r="E214" s="37" t="s">
        <v>2412</v>
      </c>
      <c r="F214" s="8" t="s">
        <v>2425</v>
      </c>
      <c r="G214" s="8" t="s">
        <v>2426</v>
      </c>
      <c r="H214" s="8" t="s">
        <v>2427</v>
      </c>
      <c r="I214" s="8"/>
      <c r="J214" s="8"/>
      <c r="K214" s="38"/>
    </row>
    <row r="215" spans="1:11" ht="18.2" customHeight="1" x14ac:dyDescent="0.25">
      <c r="A215" s="1">
        <v>344</v>
      </c>
      <c r="B215" s="8" t="s">
        <v>2428</v>
      </c>
      <c r="C215" s="37" t="s">
        <v>2371</v>
      </c>
      <c r="D215" s="37" t="s">
        <v>1703</v>
      </c>
      <c r="E215" s="37" t="s">
        <v>2412</v>
      </c>
      <c r="F215" s="8" t="s">
        <v>2429</v>
      </c>
      <c r="G215" s="8" t="s">
        <v>2063</v>
      </c>
      <c r="H215" s="8" t="s">
        <v>962</v>
      </c>
      <c r="I215" s="8"/>
      <c r="J215" s="8"/>
      <c r="K215" s="38"/>
    </row>
    <row r="216" spans="1:11" ht="18.2" customHeight="1" x14ac:dyDescent="0.25">
      <c r="A216" s="1">
        <v>345</v>
      </c>
      <c r="B216" s="8" t="s">
        <v>2430</v>
      </c>
      <c r="C216" s="37" t="s">
        <v>2431</v>
      </c>
      <c r="D216" s="37" t="s">
        <v>1624</v>
      </c>
      <c r="E216" s="37" t="s">
        <v>2432</v>
      </c>
      <c r="F216" s="38" t="s">
        <v>2433</v>
      </c>
      <c r="G216" s="38" t="s">
        <v>2434</v>
      </c>
      <c r="H216" s="38" t="s">
        <v>2435</v>
      </c>
      <c r="I216" s="38"/>
      <c r="J216" s="38"/>
      <c r="K216" s="38"/>
    </row>
    <row r="221" spans="1:11" x14ac:dyDescent="0.25">
      <c r="A221" s="1">
        <v>176</v>
      </c>
      <c r="B221" s="8" t="s">
        <v>2543</v>
      </c>
      <c r="C221" s="37" t="s">
        <v>1957</v>
      </c>
      <c r="D221" s="37" t="s">
        <v>1764</v>
      </c>
      <c r="E221" s="41" t="s">
        <v>1960</v>
      </c>
      <c r="F221" s="8" t="s">
        <v>2544</v>
      </c>
      <c r="G221" s="8" t="s">
        <v>1884</v>
      </c>
      <c r="H221" s="8" t="s">
        <v>1815</v>
      </c>
    </row>
    <row r="222" spans="1:11" x14ac:dyDescent="0.25">
      <c r="A222" s="1">
        <v>178</v>
      </c>
      <c r="B222" s="8" t="s">
        <v>2545</v>
      </c>
      <c r="C222" s="37" t="s">
        <v>1957</v>
      </c>
      <c r="D222" s="37" t="s">
        <v>1981</v>
      </c>
      <c r="E222" s="1" t="s">
        <v>1969</v>
      </c>
      <c r="F222" s="8" t="s">
        <v>2546</v>
      </c>
      <c r="G222" s="8" t="s">
        <v>2547</v>
      </c>
      <c r="H222" s="8"/>
    </row>
    <row r="223" spans="1:11" x14ac:dyDescent="0.25">
      <c r="A223" s="1">
        <v>180</v>
      </c>
      <c r="B223" s="8" t="s">
        <v>2548</v>
      </c>
      <c r="C223" s="37" t="s">
        <v>1957</v>
      </c>
      <c r="D223" s="37" t="s">
        <v>2549</v>
      </c>
      <c r="E223" s="37" t="s">
        <v>1972</v>
      </c>
      <c r="F223" s="8" t="s">
        <v>2550</v>
      </c>
      <c r="G223" s="8" t="s">
        <v>2551</v>
      </c>
      <c r="H223" s="8" t="s">
        <v>2552</v>
      </c>
    </row>
    <row r="224" spans="1:11" x14ac:dyDescent="0.25">
      <c r="A224" s="1">
        <v>186</v>
      </c>
      <c r="B224" s="8" t="s">
        <v>2553</v>
      </c>
      <c r="C224" s="37" t="s">
        <v>1957</v>
      </c>
      <c r="D224" s="37" t="s">
        <v>1624</v>
      </c>
      <c r="E224" s="37" t="s">
        <v>1990</v>
      </c>
      <c r="F224" s="8" t="s">
        <v>2554</v>
      </c>
      <c r="G224" s="8" t="s">
        <v>1991</v>
      </c>
      <c r="H224" s="8" t="s">
        <v>2555</v>
      </c>
    </row>
    <row r="225" spans="1:8" x14ac:dyDescent="0.25">
      <c r="A225" s="1">
        <v>188</v>
      </c>
      <c r="B225" s="8" t="s">
        <v>1692</v>
      </c>
      <c r="C225" s="37" t="s">
        <v>1957</v>
      </c>
      <c r="D225" s="37" t="s">
        <v>1690</v>
      </c>
      <c r="E225" s="37" t="s">
        <v>1996</v>
      </c>
      <c r="F225" s="8" t="s">
        <v>2556</v>
      </c>
      <c r="G225" s="8" t="s">
        <v>1958</v>
      </c>
      <c r="H225" s="8"/>
    </row>
    <row r="226" spans="1:8" x14ac:dyDescent="0.25">
      <c r="A226" s="1">
        <v>190</v>
      </c>
      <c r="B226" s="8" t="s">
        <v>2557</v>
      </c>
      <c r="C226" s="37" t="s">
        <v>1957</v>
      </c>
      <c r="D226" s="37" t="s">
        <v>2437</v>
      </c>
      <c r="E226" s="37" t="s">
        <v>2558</v>
      </c>
      <c r="F226" s="8" t="s">
        <v>2559</v>
      </c>
      <c r="G226" s="8" t="s">
        <v>2560</v>
      </c>
      <c r="H226" s="8"/>
    </row>
    <row r="227" spans="1:8" x14ac:dyDescent="0.25">
      <c r="A227" s="1">
        <v>196</v>
      </c>
      <c r="B227" s="8" t="s">
        <v>2561</v>
      </c>
      <c r="C227" s="37" t="s">
        <v>1957</v>
      </c>
      <c r="D227" s="37" t="s">
        <v>2562</v>
      </c>
      <c r="E227" s="37" t="s">
        <v>2010</v>
      </c>
      <c r="F227" s="8" t="s">
        <v>2563</v>
      </c>
      <c r="G227" s="8" t="s">
        <v>2012</v>
      </c>
      <c r="H227" s="8" t="s">
        <v>2564</v>
      </c>
    </row>
    <row r="228" spans="1:8" x14ac:dyDescent="0.25">
      <c r="A228" s="1">
        <v>6</v>
      </c>
      <c r="B228" s="8" t="s">
        <v>2565</v>
      </c>
      <c r="C228" s="37" t="s">
        <v>10</v>
      </c>
      <c r="D228" s="37" t="s">
        <v>1624</v>
      </c>
      <c r="E228" s="37" t="s">
        <v>1618</v>
      </c>
      <c r="F228" s="8" t="s">
        <v>2566</v>
      </c>
      <c r="G228" s="8" t="s">
        <v>1632</v>
      </c>
      <c r="H228" s="8" t="s">
        <v>2567</v>
      </c>
    </row>
    <row r="229" spans="1:8" x14ac:dyDescent="0.25">
      <c r="A229" s="1">
        <v>8</v>
      </c>
      <c r="B229" s="8" t="s">
        <v>2568</v>
      </c>
      <c r="C229" s="37" t="s">
        <v>10</v>
      </c>
      <c r="D229" s="37" t="s">
        <v>1634</v>
      </c>
      <c r="E229" s="37" t="s">
        <v>1618</v>
      </c>
      <c r="F229" s="8" t="s">
        <v>2569</v>
      </c>
      <c r="G229" s="8" t="s">
        <v>2570</v>
      </c>
      <c r="H229" s="8" t="s">
        <v>635</v>
      </c>
    </row>
    <row r="230" spans="1:8" x14ac:dyDescent="0.25">
      <c r="A230" s="1">
        <v>10</v>
      </c>
      <c r="B230" s="8" t="s">
        <v>2571</v>
      </c>
      <c r="C230" s="37" t="s">
        <v>10</v>
      </c>
      <c r="D230" s="37" t="s">
        <v>1643</v>
      </c>
      <c r="E230" s="37" t="s">
        <v>1618</v>
      </c>
      <c r="F230" s="8" t="s">
        <v>2572</v>
      </c>
      <c r="G230" s="8" t="s">
        <v>2573</v>
      </c>
      <c r="H230" s="8" t="s">
        <v>2574</v>
      </c>
    </row>
    <row r="231" spans="1:8" x14ac:dyDescent="0.25">
      <c r="A231" s="1">
        <v>16</v>
      </c>
      <c r="B231" s="8" t="s">
        <v>2575</v>
      </c>
      <c r="C231" s="37" t="s">
        <v>10</v>
      </c>
      <c r="D231" s="37" t="s">
        <v>1617</v>
      </c>
      <c r="E231" s="37" t="s">
        <v>1658</v>
      </c>
      <c r="F231" s="8" t="s">
        <v>2576</v>
      </c>
      <c r="G231" s="8" t="s">
        <v>1630</v>
      </c>
      <c r="H231" s="8"/>
    </row>
    <row r="232" spans="1:8" x14ac:dyDescent="0.25">
      <c r="A232" s="1">
        <v>18</v>
      </c>
      <c r="B232" s="8" t="s">
        <v>2577</v>
      </c>
      <c r="C232" s="37" t="s">
        <v>10</v>
      </c>
      <c r="D232" s="37" t="s">
        <v>1621</v>
      </c>
      <c r="E232" s="37" t="s">
        <v>1658</v>
      </c>
      <c r="F232" s="8" t="s">
        <v>2578</v>
      </c>
      <c r="G232" s="8" t="s">
        <v>2579</v>
      </c>
      <c r="H232" s="8"/>
    </row>
    <row r="233" spans="1:8" x14ac:dyDescent="0.25">
      <c r="A233" s="1">
        <v>20</v>
      </c>
      <c r="B233" s="8" t="s">
        <v>2580</v>
      </c>
      <c r="C233" s="37" t="s">
        <v>10</v>
      </c>
      <c r="D233" s="37" t="s">
        <v>1634</v>
      </c>
      <c r="E233" s="37" t="s">
        <v>1658</v>
      </c>
      <c r="F233" s="8" t="s">
        <v>2581</v>
      </c>
      <c r="G233" s="8" t="s">
        <v>1664</v>
      </c>
      <c r="H233" s="8"/>
    </row>
    <row r="234" spans="1:8" x14ac:dyDescent="0.25">
      <c r="A234" s="1">
        <v>26</v>
      </c>
      <c r="B234" s="8" t="s">
        <v>2582</v>
      </c>
      <c r="C234" s="37" t="s">
        <v>10</v>
      </c>
      <c r="D234" s="37" t="s">
        <v>2583</v>
      </c>
      <c r="E234" s="37" t="s">
        <v>1669</v>
      </c>
      <c r="F234" s="38" t="s">
        <v>1674</v>
      </c>
      <c r="G234" s="38" t="s">
        <v>2584</v>
      </c>
      <c r="H234" s="38" t="s">
        <v>2585</v>
      </c>
    </row>
    <row r="235" spans="1:8" x14ac:dyDescent="0.25">
      <c r="A235" s="1">
        <v>28</v>
      </c>
      <c r="B235" s="8" t="s">
        <v>1347</v>
      </c>
      <c r="C235" s="37" t="s">
        <v>10</v>
      </c>
      <c r="D235" s="37" t="s">
        <v>1634</v>
      </c>
      <c r="E235" s="37" t="s">
        <v>1669</v>
      </c>
      <c r="F235" s="38" t="s">
        <v>2586</v>
      </c>
      <c r="G235" s="38" t="s">
        <v>2587</v>
      </c>
      <c r="H235" s="38" t="s">
        <v>2588</v>
      </c>
    </row>
    <row r="236" spans="1:8" x14ac:dyDescent="0.25">
      <c r="A236" s="1">
        <v>36</v>
      </c>
      <c r="B236" s="8" t="s">
        <v>2589</v>
      </c>
      <c r="C236" s="37" t="s">
        <v>10</v>
      </c>
      <c r="D236" s="37" t="s">
        <v>1697</v>
      </c>
      <c r="E236" s="37" t="s">
        <v>1691</v>
      </c>
      <c r="F236" s="8" t="s">
        <v>2590</v>
      </c>
      <c r="G236" s="8" t="s">
        <v>1698</v>
      </c>
      <c r="H236" s="8" t="s">
        <v>2591</v>
      </c>
    </row>
    <row r="237" spans="1:8" x14ac:dyDescent="0.25">
      <c r="A237" s="1">
        <v>40</v>
      </c>
      <c r="B237" s="8" t="s">
        <v>2592</v>
      </c>
      <c r="C237" s="37" t="s">
        <v>10</v>
      </c>
      <c r="D237" s="37" t="s">
        <v>1709</v>
      </c>
      <c r="E237" s="37" t="s">
        <v>1691</v>
      </c>
      <c r="F237" s="8" t="s">
        <v>2593</v>
      </c>
      <c r="G237" s="8" t="s">
        <v>1698</v>
      </c>
      <c r="H237" s="8" t="s">
        <v>2594</v>
      </c>
    </row>
    <row r="238" spans="1:8" x14ac:dyDescent="0.25">
      <c r="A238" s="1">
        <v>46</v>
      </c>
      <c r="B238" s="8" t="s">
        <v>2595</v>
      </c>
      <c r="C238" s="37" t="s">
        <v>10</v>
      </c>
      <c r="D238" s="37" t="s">
        <v>2596</v>
      </c>
      <c r="E238" s="37" t="s">
        <v>1717</v>
      </c>
      <c r="F238" s="8" t="s">
        <v>2597</v>
      </c>
      <c r="G238" s="8" t="s">
        <v>1636</v>
      </c>
      <c r="H238" s="8" t="s">
        <v>1724</v>
      </c>
    </row>
    <row r="239" spans="1:8" x14ac:dyDescent="0.25">
      <c r="A239" s="1">
        <v>48</v>
      </c>
      <c r="B239" s="8" t="s">
        <v>2598</v>
      </c>
      <c r="C239" s="37" t="s">
        <v>10</v>
      </c>
      <c r="D239" s="37" t="s">
        <v>2599</v>
      </c>
      <c r="E239" s="37" t="s">
        <v>1717</v>
      </c>
      <c r="F239" s="8" t="s">
        <v>2600</v>
      </c>
      <c r="G239" s="8" t="s">
        <v>2601</v>
      </c>
      <c r="H239" s="8" t="s">
        <v>2602</v>
      </c>
    </row>
    <row r="240" spans="1:8" x14ac:dyDescent="0.25">
      <c r="A240" s="1">
        <v>50</v>
      </c>
      <c r="B240" s="8" t="s">
        <v>2603</v>
      </c>
      <c r="C240" s="37" t="s">
        <v>10</v>
      </c>
      <c r="D240" s="37" t="s">
        <v>1733</v>
      </c>
      <c r="E240" s="37" t="s">
        <v>1728</v>
      </c>
      <c r="F240" s="8" t="s">
        <v>2604</v>
      </c>
      <c r="G240" s="8" t="s">
        <v>2570</v>
      </c>
      <c r="H240" s="8" t="s">
        <v>2605</v>
      </c>
    </row>
    <row r="241" spans="1:8" x14ac:dyDescent="0.25">
      <c r="A241" s="1">
        <v>56</v>
      </c>
      <c r="B241" s="8" t="s">
        <v>2606</v>
      </c>
      <c r="C241" s="37" t="s">
        <v>10</v>
      </c>
      <c r="D241" s="37" t="s">
        <v>1743</v>
      </c>
      <c r="E241" s="37" t="s">
        <v>1728</v>
      </c>
      <c r="F241" s="8" t="s">
        <v>2607</v>
      </c>
      <c r="G241" s="8" t="s">
        <v>2608</v>
      </c>
      <c r="H241" s="8" t="s">
        <v>2609</v>
      </c>
    </row>
    <row r="242" spans="1:8" x14ac:dyDescent="0.25">
      <c r="A242" s="1">
        <v>58</v>
      </c>
      <c r="B242" s="8" t="s">
        <v>2610</v>
      </c>
      <c r="C242" s="37" t="s">
        <v>10</v>
      </c>
      <c r="D242" s="37" t="s">
        <v>1981</v>
      </c>
      <c r="E242" s="37" t="s">
        <v>1728</v>
      </c>
      <c r="F242" s="8" t="s">
        <v>2611</v>
      </c>
      <c r="G242" s="8" t="s">
        <v>1746</v>
      </c>
      <c r="H242" s="8" t="s">
        <v>2612</v>
      </c>
    </row>
    <row r="243" spans="1:8" x14ac:dyDescent="0.25">
      <c r="A243" s="1">
        <v>60</v>
      </c>
      <c r="B243" s="8" t="s">
        <v>2613</v>
      </c>
      <c r="C243" s="37" t="s">
        <v>10</v>
      </c>
      <c r="D243" s="37" t="s">
        <v>1697</v>
      </c>
      <c r="E243" s="37" t="s">
        <v>1751</v>
      </c>
      <c r="F243" s="8" t="s">
        <v>2614</v>
      </c>
      <c r="G243" s="8" t="s">
        <v>2615</v>
      </c>
      <c r="H243" s="8" t="s">
        <v>2616</v>
      </c>
    </row>
    <row r="244" spans="1:8" x14ac:dyDescent="0.25">
      <c r="A244" s="1">
        <v>198</v>
      </c>
      <c r="B244" s="8" t="s">
        <v>2617</v>
      </c>
      <c r="C244" s="37" t="s">
        <v>2017</v>
      </c>
      <c r="D244" s="37" t="s">
        <v>2549</v>
      </c>
      <c r="E244" s="37" t="s">
        <v>2018</v>
      </c>
      <c r="F244" s="8" t="s">
        <v>2618</v>
      </c>
      <c r="G244" s="8" t="s">
        <v>1797</v>
      </c>
      <c r="H244" s="8" t="s">
        <v>2619</v>
      </c>
    </row>
    <row r="245" spans="1:8" x14ac:dyDescent="0.25">
      <c r="A245" s="1">
        <v>200</v>
      </c>
      <c r="B245" s="8" t="s">
        <v>2620</v>
      </c>
      <c r="C245" s="37" t="s">
        <v>2017</v>
      </c>
      <c r="D245" s="37" t="s">
        <v>2621</v>
      </c>
      <c r="E245" s="37" t="s">
        <v>2018</v>
      </c>
      <c r="F245" s="8" t="s">
        <v>2622</v>
      </c>
      <c r="G245" s="8" t="s">
        <v>2020</v>
      </c>
      <c r="H245" s="8" t="s">
        <v>2022</v>
      </c>
    </row>
    <row r="246" spans="1:8" x14ac:dyDescent="0.25">
      <c r="A246" s="1">
        <v>206</v>
      </c>
      <c r="B246" s="8" t="s">
        <v>2623</v>
      </c>
      <c r="C246" s="37" t="s">
        <v>2017</v>
      </c>
      <c r="D246" s="37" t="s">
        <v>2624</v>
      </c>
      <c r="E246" s="37" t="s">
        <v>2024</v>
      </c>
      <c r="F246" s="8" t="s">
        <v>2625</v>
      </c>
      <c r="G246" s="8" t="s">
        <v>2026</v>
      </c>
      <c r="H246" s="8" t="s">
        <v>2626</v>
      </c>
    </row>
    <row r="247" spans="1:8" x14ac:dyDescent="0.25">
      <c r="A247" s="1">
        <v>208</v>
      </c>
      <c r="B247" s="8" t="s">
        <v>2627</v>
      </c>
      <c r="C247" s="37" t="s">
        <v>2017</v>
      </c>
      <c r="D247" s="37" t="s">
        <v>2033</v>
      </c>
      <c r="E247" s="37" t="s">
        <v>2034</v>
      </c>
      <c r="F247" s="8" t="s">
        <v>2628</v>
      </c>
      <c r="G247" s="8" t="s">
        <v>1902</v>
      </c>
      <c r="H247" s="8" t="s">
        <v>1005</v>
      </c>
    </row>
    <row r="248" spans="1:8" x14ac:dyDescent="0.25">
      <c r="A248" s="1">
        <v>210</v>
      </c>
      <c r="B248" s="8" t="s">
        <v>2629</v>
      </c>
      <c r="C248" s="37" t="s">
        <v>2017</v>
      </c>
      <c r="D248" s="37" t="s">
        <v>1690</v>
      </c>
      <c r="E248" s="37" t="s">
        <v>2034</v>
      </c>
      <c r="F248" s="8" t="s">
        <v>2630</v>
      </c>
      <c r="G248" s="8" t="s">
        <v>2631</v>
      </c>
      <c r="H248" s="8" t="s">
        <v>2632</v>
      </c>
    </row>
    <row r="249" spans="1:8" x14ac:dyDescent="0.25">
      <c r="A249" s="1">
        <v>216</v>
      </c>
      <c r="B249" s="8" t="s">
        <v>2633</v>
      </c>
      <c r="C249" s="37" t="s">
        <v>2017</v>
      </c>
      <c r="D249" s="37" t="s">
        <v>2634</v>
      </c>
      <c r="E249" s="37" t="s">
        <v>2051</v>
      </c>
      <c r="F249" s="8" t="s">
        <v>2635</v>
      </c>
      <c r="G249" s="8" t="s">
        <v>1770</v>
      </c>
      <c r="H249" s="8" t="s">
        <v>2636</v>
      </c>
    </row>
    <row r="250" spans="1:8" x14ac:dyDescent="0.25">
      <c r="A250" s="1">
        <v>68</v>
      </c>
      <c r="B250" s="8" t="s">
        <v>2637</v>
      </c>
      <c r="C250" s="37" t="s">
        <v>13</v>
      </c>
      <c r="D250" s="37" t="s">
        <v>1764</v>
      </c>
      <c r="E250" s="37" t="s">
        <v>1769</v>
      </c>
      <c r="F250" s="8" t="s">
        <v>2638</v>
      </c>
      <c r="G250" s="8" t="s">
        <v>1770</v>
      </c>
      <c r="H250" s="8" t="s">
        <v>2639</v>
      </c>
    </row>
    <row r="251" spans="1:8" x14ac:dyDescent="0.25">
      <c r="A251" s="1">
        <v>70</v>
      </c>
      <c r="B251" s="8" t="s">
        <v>2640</v>
      </c>
      <c r="C251" s="37" t="s">
        <v>13</v>
      </c>
      <c r="D251" s="37" t="s">
        <v>1624</v>
      </c>
      <c r="E251" s="37" t="s">
        <v>1769</v>
      </c>
      <c r="F251" s="8" t="s">
        <v>2641</v>
      </c>
      <c r="G251" s="8" t="s">
        <v>1776</v>
      </c>
      <c r="H251" s="8" t="s">
        <v>2642</v>
      </c>
    </row>
    <row r="252" spans="1:8" x14ac:dyDescent="0.25">
      <c r="A252" s="1">
        <v>76</v>
      </c>
      <c r="B252" s="8" t="s">
        <v>2643</v>
      </c>
      <c r="C252" s="37" t="s">
        <v>13</v>
      </c>
      <c r="D252" s="37" t="s">
        <v>2644</v>
      </c>
      <c r="E252" s="37" t="s">
        <v>1769</v>
      </c>
      <c r="F252" s="8" t="s">
        <v>2645</v>
      </c>
      <c r="G252" s="8" t="s">
        <v>2646</v>
      </c>
      <c r="H252" s="8" t="s">
        <v>2647</v>
      </c>
    </row>
    <row r="253" spans="1:8" x14ac:dyDescent="0.25">
      <c r="A253" s="1">
        <v>78</v>
      </c>
      <c r="B253" s="8" t="s">
        <v>541</v>
      </c>
      <c r="C253" s="37" t="s">
        <v>13</v>
      </c>
      <c r="D253" s="37" t="s">
        <v>1722</v>
      </c>
      <c r="E253" s="37" t="s">
        <v>1790</v>
      </c>
      <c r="F253" s="8" t="s">
        <v>2648</v>
      </c>
      <c r="G253" s="38" t="s">
        <v>1794</v>
      </c>
      <c r="H253" s="38" t="s">
        <v>2649</v>
      </c>
    </row>
    <row r="254" spans="1:8" x14ac:dyDescent="0.25">
      <c r="A254" s="1">
        <v>80</v>
      </c>
      <c r="B254" s="8" t="s">
        <v>2650</v>
      </c>
      <c r="C254" s="37" t="s">
        <v>13</v>
      </c>
      <c r="D254" s="37" t="s">
        <v>1762</v>
      </c>
      <c r="E254" s="37" t="s">
        <v>1790</v>
      </c>
      <c r="F254" s="8" t="s">
        <v>2651</v>
      </c>
      <c r="G254" s="38" t="s">
        <v>1799</v>
      </c>
      <c r="H254" s="38" t="s">
        <v>1800</v>
      </c>
    </row>
    <row r="255" spans="1:8" x14ac:dyDescent="0.25">
      <c r="A255" s="1">
        <v>86</v>
      </c>
      <c r="B255" s="8" t="s">
        <v>2652</v>
      </c>
      <c r="C255" s="37" t="s">
        <v>13</v>
      </c>
      <c r="D255" s="37" t="s">
        <v>2653</v>
      </c>
      <c r="E255" s="1" t="s">
        <v>1812</v>
      </c>
      <c r="F255" s="38" t="s">
        <v>2654</v>
      </c>
      <c r="G255" s="8" t="s">
        <v>1817</v>
      </c>
      <c r="H255" s="8" t="s">
        <v>2655</v>
      </c>
    </row>
    <row r="256" spans="1:8" x14ac:dyDescent="0.25">
      <c r="A256" s="1">
        <v>88</v>
      </c>
      <c r="B256" s="8" t="s">
        <v>1692</v>
      </c>
      <c r="C256" s="37" t="s">
        <v>13</v>
      </c>
      <c r="D256" s="37" t="s">
        <v>1801</v>
      </c>
      <c r="E256" s="1" t="s">
        <v>1812</v>
      </c>
      <c r="F256" s="38" t="s">
        <v>2656</v>
      </c>
      <c r="G256" s="8" t="s">
        <v>1817</v>
      </c>
      <c r="H256" s="8" t="s">
        <v>2657</v>
      </c>
    </row>
    <row r="257" spans="1:8" x14ac:dyDescent="0.25">
      <c r="A257" s="1">
        <v>90</v>
      </c>
      <c r="B257" s="8" t="s">
        <v>2658</v>
      </c>
      <c r="C257" s="37" t="s">
        <v>13</v>
      </c>
      <c r="D257" s="37" t="s">
        <v>1697</v>
      </c>
      <c r="E257" s="1" t="s">
        <v>1812</v>
      </c>
      <c r="F257" s="38" t="s">
        <v>2659</v>
      </c>
      <c r="G257" s="8" t="s">
        <v>1827</v>
      </c>
      <c r="H257" s="8" t="s">
        <v>2660</v>
      </c>
    </row>
    <row r="258" spans="1:8" x14ac:dyDescent="0.25">
      <c r="A258" s="1">
        <v>96</v>
      </c>
      <c r="B258" s="8" t="s">
        <v>2661</v>
      </c>
      <c r="C258" s="37" t="s">
        <v>13</v>
      </c>
      <c r="D258" s="37" t="s">
        <v>1764</v>
      </c>
      <c r="E258" s="1" t="s">
        <v>1825</v>
      </c>
      <c r="F258" s="8" t="s">
        <v>1840</v>
      </c>
      <c r="G258" s="38" t="s">
        <v>1809</v>
      </c>
      <c r="H258" s="38" t="s">
        <v>2662</v>
      </c>
    </row>
    <row r="259" spans="1:8" x14ac:dyDescent="0.25">
      <c r="A259" s="1">
        <v>98</v>
      </c>
      <c r="B259" s="8" t="s">
        <v>2663</v>
      </c>
      <c r="C259" s="37" t="s">
        <v>13</v>
      </c>
      <c r="D259" s="37" t="s">
        <v>1784</v>
      </c>
      <c r="E259" s="1" t="s">
        <v>1825</v>
      </c>
      <c r="F259" s="8" t="s">
        <v>2664</v>
      </c>
      <c r="G259" s="38" t="s">
        <v>2665</v>
      </c>
      <c r="H259" s="38" t="s">
        <v>2666</v>
      </c>
    </row>
    <row r="260" spans="1:8" x14ac:dyDescent="0.25">
      <c r="A260" s="1">
        <v>100</v>
      </c>
      <c r="B260" s="8" t="s">
        <v>2667</v>
      </c>
      <c r="C260" s="37" t="s">
        <v>13</v>
      </c>
      <c r="D260" s="37" t="s">
        <v>2668</v>
      </c>
      <c r="E260" s="1" t="s">
        <v>1850</v>
      </c>
      <c r="F260" s="8" t="s">
        <v>2669</v>
      </c>
      <c r="G260" s="38" t="s">
        <v>1802</v>
      </c>
      <c r="H260" s="38" t="s">
        <v>1046</v>
      </c>
    </row>
    <row r="261" spans="1:8" x14ac:dyDescent="0.25">
      <c r="A261" s="1">
        <v>106</v>
      </c>
      <c r="B261" s="8" t="s">
        <v>2670</v>
      </c>
      <c r="C261" s="37" t="s">
        <v>13</v>
      </c>
      <c r="D261" s="37" t="s">
        <v>1624</v>
      </c>
      <c r="E261" s="1" t="s">
        <v>1857</v>
      </c>
      <c r="F261" s="8" t="s">
        <v>2671</v>
      </c>
      <c r="G261" s="8" t="s">
        <v>2672</v>
      </c>
      <c r="H261" s="8" t="s">
        <v>2673</v>
      </c>
    </row>
    <row r="262" spans="1:8" x14ac:dyDescent="0.25">
      <c r="A262" s="1">
        <v>107</v>
      </c>
      <c r="B262" s="8" t="s">
        <v>1858</v>
      </c>
      <c r="C262" s="37" t="s">
        <v>13</v>
      </c>
      <c r="D262" s="37" t="s">
        <v>1709</v>
      </c>
      <c r="E262" s="1" t="s">
        <v>1857</v>
      </c>
      <c r="F262" s="8" t="s">
        <v>1859</v>
      </c>
      <c r="G262" s="8" t="s">
        <v>1827</v>
      </c>
      <c r="H262" s="8" t="s">
        <v>1860</v>
      </c>
    </row>
    <row r="263" spans="1:8" x14ac:dyDescent="0.25">
      <c r="A263" s="1">
        <v>108</v>
      </c>
      <c r="B263" s="8" t="s">
        <v>2674</v>
      </c>
      <c r="C263" s="37" t="s">
        <v>13</v>
      </c>
      <c r="D263" s="37" t="s">
        <v>1709</v>
      </c>
      <c r="E263" s="1" t="s">
        <v>1857</v>
      </c>
      <c r="F263" s="8" t="s">
        <v>1777</v>
      </c>
      <c r="G263" s="8" t="s">
        <v>2675</v>
      </c>
      <c r="H263" s="8" t="s">
        <v>1862</v>
      </c>
    </row>
    <row r="264" spans="1:8" x14ac:dyDescent="0.25">
      <c r="A264" s="1">
        <v>110</v>
      </c>
      <c r="B264" s="8" t="s">
        <v>2676</v>
      </c>
      <c r="C264" s="37" t="s">
        <v>13</v>
      </c>
      <c r="D264" s="37" t="s">
        <v>2677</v>
      </c>
      <c r="E264" s="1" t="s">
        <v>1864</v>
      </c>
      <c r="F264" s="8" t="s">
        <v>2678</v>
      </c>
      <c r="G264" s="8" t="s">
        <v>1809</v>
      </c>
      <c r="H264" s="8" t="s">
        <v>2679</v>
      </c>
    </row>
    <row r="265" spans="1:8" x14ac:dyDescent="0.25">
      <c r="A265" s="1">
        <v>116</v>
      </c>
      <c r="B265" s="8" t="s">
        <v>2680</v>
      </c>
      <c r="C265" s="37" t="s">
        <v>1867</v>
      </c>
      <c r="D265" s="37"/>
      <c r="E265" s="1" t="s">
        <v>1868</v>
      </c>
      <c r="F265" s="38" t="s">
        <v>2681</v>
      </c>
      <c r="G265" s="8" t="s">
        <v>2682</v>
      </c>
      <c r="H265" s="8"/>
    </row>
    <row r="266" spans="1:8" x14ac:dyDescent="0.25">
      <c r="A266" s="1">
        <v>118</v>
      </c>
      <c r="B266" s="8" t="s">
        <v>2683</v>
      </c>
      <c r="C266" s="37" t="s">
        <v>1867</v>
      </c>
      <c r="D266" s="37" t="s">
        <v>1643</v>
      </c>
      <c r="E266" s="1" t="s">
        <v>1868</v>
      </c>
      <c r="F266" s="38" t="s">
        <v>2684</v>
      </c>
      <c r="G266" s="8" t="s">
        <v>2685</v>
      </c>
      <c r="H266" s="8"/>
    </row>
    <row r="267" spans="1:8" x14ac:dyDescent="0.25">
      <c r="A267" s="1">
        <v>120</v>
      </c>
      <c r="B267" s="8" t="s">
        <v>2686</v>
      </c>
      <c r="C267" s="37" t="s">
        <v>1867</v>
      </c>
      <c r="D267" s="37" t="s">
        <v>1764</v>
      </c>
      <c r="E267" s="1" t="s">
        <v>1883</v>
      </c>
      <c r="F267" s="2" t="s">
        <v>2687</v>
      </c>
      <c r="G267" s="8" t="s">
        <v>1884</v>
      </c>
      <c r="H267" s="8" t="s">
        <v>2688</v>
      </c>
    </row>
    <row r="268" spans="1:8" x14ac:dyDescent="0.25">
      <c r="A268" s="1">
        <v>126</v>
      </c>
      <c r="B268" s="8" t="s">
        <v>1753</v>
      </c>
      <c r="C268" s="37" t="s">
        <v>1867</v>
      </c>
      <c r="D268" s="37" t="s">
        <v>1624</v>
      </c>
      <c r="E268" s="1" t="s">
        <v>1883</v>
      </c>
      <c r="F268" s="2" t="s">
        <v>2689</v>
      </c>
      <c r="G268" s="8" t="s">
        <v>2690</v>
      </c>
      <c r="H268" s="8" t="s">
        <v>2691</v>
      </c>
    </row>
    <row r="269" spans="1:8" x14ac:dyDescent="0.25">
      <c r="A269" s="1">
        <v>128</v>
      </c>
      <c r="B269" s="8" t="s">
        <v>2692</v>
      </c>
      <c r="C269" s="37" t="s">
        <v>1867</v>
      </c>
      <c r="D269" s="37" t="s">
        <v>2693</v>
      </c>
      <c r="E269" s="1" t="s">
        <v>1883</v>
      </c>
      <c r="F269" s="8" t="s">
        <v>2694</v>
      </c>
      <c r="G269" s="8" t="s">
        <v>1884</v>
      </c>
      <c r="H269" s="8" t="s">
        <v>2695</v>
      </c>
    </row>
    <row r="270" spans="1:8" x14ac:dyDescent="0.25">
      <c r="A270" s="1">
        <v>130</v>
      </c>
      <c r="B270" s="8" t="s">
        <v>2696</v>
      </c>
      <c r="C270" s="37" t="s">
        <v>1867</v>
      </c>
      <c r="D270" s="37" t="s">
        <v>1743</v>
      </c>
      <c r="E270" s="1" t="s">
        <v>1900</v>
      </c>
      <c r="F270" s="8" t="s">
        <v>2697</v>
      </c>
      <c r="G270" s="8" t="s">
        <v>1799</v>
      </c>
      <c r="H270" s="8"/>
    </row>
    <row r="271" spans="1:8" x14ac:dyDescent="0.25">
      <c r="A271" s="1">
        <v>136</v>
      </c>
      <c r="B271" s="8" t="s">
        <v>2698</v>
      </c>
      <c r="C271" s="37" t="s">
        <v>1867</v>
      </c>
      <c r="D271" s="37" t="s">
        <v>1981</v>
      </c>
      <c r="E271" s="1" t="s">
        <v>1900</v>
      </c>
      <c r="F271" s="8" t="s">
        <v>2699</v>
      </c>
      <c r="G271" s="8" t="s">
        <v>1799</v>
      </c>
      <c r="H271" s="8"/>
    </row>
    <row r="272" spans="1:8" x14ac:dyDescent="0.25">
      <c r="A272" s="1">
        <v>138</v>
      </c>
      <c r="B272" s="8" t="s">
        <v>2700</v>
      </c>
      <c r="C272" s="37" t="s">
        <v>1867</v>
      </c>
      <c r="D272" s="37" t="s">
        <v>1617</v>
      </c>
      <c r="E272" s="1" t="s">
        <v>1900</v>
      </c>
      <c r="F272" s="8" t="s">
        <v>1911</v>
      </c>
      <c r="G272" s="8" t="s">
        <v>1912</v>
      </c>
      <c r="H272" s="8"/>
    </row>
    <row r="273" spans="1:8" x14ac:dyDescent="0.25">
      <c r="A273" s="1">
        <v>139</v>
      </c>
      <c r="B273" s="8" t="s">
        <v>1913</v>
      </c>
      <c r="C273" s="37" t="s">
        <v>1867</v>
      </c>
      <c r="D273" s="37" t="s">
        <v>1914</v>
      </c>
      <c r="E273" s="1" t="s">
        <v>1900</v>
      </c>
      <c r="F273" s="8" t="s">
        <v>1915</v>
      </c>
      <c r="G273" s="8" t="s">
        <v>1916</v>
      </c>
      <c r="H273" s="8"/>
    </row>
    <row r="274" spans="1:8" x14ac:dyDescent="0.25">
      <c r="A274" s="1">
        <v>146</v>
      </c>
      <c r="B274" s="8" t="s">
        <v>2701</v>
      </c>
      <c r="C274" s="37" t="s">
        <v>1867</v>
      </c>
      <c r="D274" s="37" t="s">
        <v>2702</v>
      </c>
      <c r="E274" s="1" t="s">
        <v>1921</v>
      </c>
      <c r="F274" s="8" t="s">
        <v>2703</v>
      </c>
      <c r="G274" s="8" t="s">
        <v>2704</v>
      </c>
      <c r="H274" s="8"/>
    </row>
    <row r="275" spans="1:8" x14ac:dyDescent="0.25">
      <c r="A275" s="1">
        <v>148</v>
      </c>
      <c r="B275" s="8" t="s">
        <v>2705</v>
      </c>
      <c r="C275" s="37" t="s">
        <v>1867</v>
      </c>
      <c r="D275" s="37" t="s">
        <v>1657</v>
      </c>
      <c r="E275" s="1" t="s">
        <v>1921</v>
      </c>
      <c r="F275" s="8" t="s">
        <v>2706</v>
      </c>
      <c r="G275" s="8" t="s">
        <v>2707</v>
      </c>
      <c r="H275" s="8"/>
    </row>
    <row r="276" spans="1:8" x14ac:dyDescent="0.25">
      <c r="A276" s="1">
        <v>150</v>
      </c>
      <c r="B276" s="8" t="s">
        <v>2708</v>
      </c>
      <c r="C276" s="37" t="s">
        <v>1867</v>
      </c>
      <c r="D276" s="37" t="s">
        <v>1903</v>
      </c>
      <c r="E276" s="1" t="s">
        <v>1921</v>
      </c>
      <c r="F276" s="8" t="s">
        <v>2709</v>
      </c>
      <c r="G276" s="8" t="s">
        <v>2710</v>
      </c>
      <c r="H276" s="8"/>
    </row>
    <row r="277" spans="1:8" x14ac:dyDescent="0.25">
      <c r="A277" s="1">
        <v>156</v>
      </c>
      <c r="B277" s="8" t="s">
        <v>2711</v>
      </c>
      <c r="C277" s="37" t="s">
        <v>1867</v>
      </c>
      <c r="D277" s="37" t="s">
        <v>1764</v>
      </c>
      <c r="E277" s="1" t="s">
        <v>1934</v>
      </c>
      <c r="F277" s="8" t="s">
        <v>2712</v>
      </c>
      <c r="G277" s="40" t="s">
        <v>1877</v>
      </c>
      <c r="H277" s="40" t="s">
        <v>2713</v>
      </c>
    </row>
    <row r="278" spans="1:8" x14ac:dyDescent="0.25">
      <c r="A278" s="1">
        <v>158</v>
      </c>
      <c r="B278" s="8" t="s">
        <v>2714</v>
      </c>
      <c r="C278" s="37" t="s">
        <v>1867</v>
      </c>
      <c r="D278" s="37" t="s">
        <v>1703</v>
      </c>
      <c r="E278" s="1" t="s">
        <v>1934</v>
      </c>
      <c r="F278" s="8" t="s">
        <v>2715</v>
      </c>
      <c r="G278" s="40" t="s">
        <v>2716</v>
      </c>
      <c r="H278" s="40" t="s">
        <v>2717</v>
      </c>
    </row>
    <row r="279" spans="1:8" x14ac:dyDescent="0.25">
      <c r="A279" s="1">
        <v>160</v>
      </c>
      <c r="B279" s="8" t="s">
        <v>2718</v>
      </c>
      <c r="C279" s="37" t="s">
        <v>1867</v>
      </c>
      <c r="D279" s="37" t="s">
        <v>1697</v>
      </c>
      <c r="E279" s="1" t="s">
        <v>1940</v>
      </c>
      <c r="F279" s="8" t="s">
        <v>1941</v>
      </c>
      <c r="G279" s="8" t="s">
        <v>1942</v>
      </c>
      <c r="H279" s="8" t="s">
        <v>382</v>
      </c>
    </row>
    <row r="280" spans="1:8" x14ac:dyDescent="0.25">
      <c r="A280" s="1">
        <v>166</v>
      </c>
      <c r="B280" s="8" t="s">
        <v>2719</v>
      </c>
      <c r="C280" s="37" t="s">
        <v>1867</v>
      </c>
      <c r="D280" s="37" t="s">
        <v>1690</v>
      </c>
      <c r="E280" s="1" t="s">
        <v>1952</v>
      </c>
      <c r="F280" s="8" t="s">
        <v>2720</v>
      </c>
      <c r="G280" s="40" t="s">
        <v>1884</v>
      </c>
      <c r="H280" s="40"/>
    </row>
    <row r="281" spans="1:8" x14ac:dyDescent="0.25">
      <c r="A281" s="1">
        <v>168</v>
      </c>
      <c r="B281" s="8" t="s">
        <v>2721</v>
      </c>
      <c r="C281" s="37" t="s">
        <v>1867</v>
      </c>
      <c r="D281" s="37"/>
      <c r="E281" s="1" t="s">
        <v>1952</v>
      </c>
      <c r="F281" s="8" t="s">
        <v>2722</v>
      </c>
      <c r="G281" s="40" t="s">
        <v>1817</v>
      </c>
      <c r="H281" s="40"/>
    </row>
    <row r="282" spans="1:8" x14ac:dyDescent="0.25">
      <c r="A282" s="1">
        <v>170</v>
      </c>
      <c r="B282" s="8" t="s">
        <v>2723</v>
      </c>
      <c r="C282" s="37" t="s">
        <v>1867</v>
      </c>
      <c r="D282" s="37"/>
      <c r="E282" s="1" t="s">
        <v>1952</v>
      </c>
      <c r="F282" s="8" t="s">
        <v>2724</v>
      </c>
      <c r="G282" s="40" t="s">
        <v>1817</v>
      </c>
      <c r="H282" s="40"/>
    </row>
  </sheetData>
  <autoFilter ref="A1:L216" xr:uid="{F81EB1B7-3959-4E12-BB48-760E4911568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36C4A-2F61-4D93-B299-1D49E256A82E}">
  <sheetPr codeName="Sheet6"/>
  <dimension ref="A1:S33"/>
  <sheetViews>
    <sheetView view="pageLayout" zoomScaleNormal="100" workbookViewId="0">
      <selection activeCell="N24" sqref="N24:O24"/>
    </sheetView>
  </sheetViews>
  <sheetFormatPr defaultRowHeight="15" x14ac:dyDescent="0.25"/>
  <cols>
    <col min="1" max="1" width="6.5703125" customWidth="1"/>
    <col min="2" max="2" width="4.28515625" customWidth="1"/>
    <col min="6" max="6" width="9.85546875" customWidth="1"/>
    <col min="7" max="7" width="7.28515625" customWidth="1"/>
    <col min="9" max="9" width="6.85546875" customWidth="1"/>
    <col min="10" max="10" width="8.85546875" customWidth="1"/>
    <col min="11" max="11" width="5" customWidth="1"/>
    <col min="12" max="12" width="6.5703125" customWidth="1"/>
    <col min="13" max="13" width="4.5703125" customWidth="1"/>
    <col min="17" max="17" width="9.85546875" customWidth="1"/>
    <col min="18" max="18" width="7.28515625" customWidth="1"/>
  </cols>
  <sheetData>
    <row r="1" spans="1:19" x14ac:dyDescent="0.25">
      <c r="A1" s="18"/>
      <c r="B1" s="18"/>
      <c r="C1" s="18"/>
      <c r="D1" s="18"/>
      <c r="E1" s="18"/>
      <c r="F1" s="18"/>
      <c r="G1" s="18"/>
      <c r="H1" s="18"/>
      <c r="I1" s="18"/>
      <c r="J1" s="33">
        <v>281</v>
      </c>
      <c r="K1" s="19"/>
      <c r="L1" s="18"/>
      <c r="M1" s="18"/>
      <c r="N1" s="18"/>
      <c r="O1" s="18"/>
      <c r="P1" s="18"/>
      <c r="Q1" s="18"/>
      <c r="R1" s="18"/>
      <c r="S1" s="18"/>
    </row>
    <row r="2" spans="1:19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9"/>
      <c r="L2" s="18"/>
      <c r="M2" s="18"/>
      <c r="N2" s="18"/>
      <c r="O2" s="18"/>
      <c r="P2" s="18"/>
      <c r="Q2" s="18"/>
      <c r="R2" s="18"/>
      <c r="S2" s="18"/>
    </row>
    <row r="3" spans="1:19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9"/>
      <c r="L3" s="18"/>
      <c r="M3" s="18"/>
      <c r="N3" s="18"/>
      <c r="O3" s="18"/>
      <c r="P3" s="18"/>
      <c r="Q3" s="18"/>
      <c r="R3" s="18"/>
      <c r="S3" s="18"/>
    </row>
    <row r="4" spans="1:19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9"/>
      <c r="L4" s="18"/>
      <c r="M4" s="18"/>
      <c r="N4" s="18"/>
      <c r="O4" s="18"/>
      <c r="P4" s="18"/>
      <c r="Q4" s="18"/>
      <c r="R4" s="18"/>
      <c r="S4" s="18"/>
    </row>
    <row r="5" spans="1:19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9"/>
      <c r="L5" s="18"/>
      <c r="M5" s="18"/>
      <c r="N5" s="18"/>
      <c r="O5" s="18"/>
      <c r="P5" s="18"/>
      <c r="Q5" s="18"/>
      <c r="R5" s="18"/>
      <c r="S5" s="20"/>
    </row>
    <row r="6" spans="1:19" ht="18.75" x14ac:dyDescent="0.3">
      <c r="A6" s="21"/>
      <c r="B6" s="21"/>
      <c r="C6" s="79" t="s">
        <v>1605</v>
      </c>
      <c r="D6" s="79"/>
      <c r="E6" s="79"/>
      <c r="F6" s="21"/>
      <c r="G6" s="21"/>
      <c r="H6" s="21"/>
      <c r="I6" s="21"/>
      <c r="J6" s="21"/>
      <c r="K6" s="22"/>
      <c r="L6" s="21"/>
      <c r="M6" s="21"/>
      <c r="N6" s="79" t="str">
        <f>C6</f>
        <v>Surat Ijin Pemilu</v>
      </c>
      <c r="O6" s="79"/>
      <c r="P6" s="79"/>
      <c r="Q6" s="21"/>
      <c r="R6" s="21"/>
      <c r="S6" s="21"/>
    </row>
    <row r="7" spans="1:19" x14ac:dyDescent="0.25">
      <c r="A7" s="18"/>
      <c r="B7" s="18"/>
      <c r="C7" s="89" t="str" cm="1">
        <f t="array" ref="C7">"No : "&amp;TEXT(INDEX(Sheet3!$A:$A,$J$1),"000")&amp;"/Y.AU/A2.2/5.1446"</f>
        <v>No : 168/Y.AU/A2.2/5.1446</v>
      </c>
      <c r="D7" s="89"/>
      <c r="E7" s="89"/>
      <c r="F7" s="18"/>
      <c r="G7" s="18"/>
      <c r="H7" s="18"/>
      <c r="I7" s="18"/>
      <c r="J7" s="18"/>
      <c r="K7" s="19"/>
      <c r="L7" s="18"/>
      <c r="M7" s="18"/>
      <c r="N7" s="89" t="str" cm="1">
        <f t="array" ref="N7">"No : "&amp;TEXT(INDEX(Sheet3!$A:$A,J1+1),"000")&amp;"/Y.AU/A2.2/5.1446"</f>
        <v>No : 170/Y.AU/A2.2/5.1446</v>
      </c>
      <c r="O7" s="89"/>
      <c r="P7" s="89"/>
      <c r="Q7" s="18"/>
      <c r="R7" s="18"/>
      <c r="S7" s="18"/>
    </row>
    <row r="8" spans="1:19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9"/>
      <c r="L8" s="18"/>
      <c r="M8" s="18"/>
      <c r="N8" s="18"/>
      <c r="O8" s="18"/>
      <c r="P8" s="18"/>
      <c r="Q8" s="18"/>
      <c r="R8" s="18"/>
      <c r="S8" s="18"/>
    </row>
    <row r="9" spans="1:19" x14ac:dyDescent="0.25">
      <c r="A9" s="23"/>
      <c r="B9" s="82" t="s">
        <v>1583</v>
      </c>
      <c r="C9" s="82"/>
      <c r="D9" s="82"/>
      <c r="E9" s="82"/>
      <c r="F9" s="82"/>
      <c r="G9" s="24"/>
      <c r="H9" s="25"/>
      <c r="I9" s="23"/>
      <c r="J9" s="23"/>
      <c r="K9" s="26"/>
      <c r="L9" s="23"/>
      <c r="M9" s="82" t="s">
        <v>1583</v>
      </c>
      <c r="N9" s="82"/>
      <c r="O9" s="82"/>
      <c r="P9" s="82"/>
      <c r="Q9" s="82"/>
      <c r="R9" s="24"/>
      <c r="S9" s="25"/>
    </row>
    <row r="10" spans="1:19" x14ac:dyDescent="0.25">
      <c r="A10" s="23"/>
      <c r="B10" s="25"/>
      <c r="C10" s="27" t="s">
        <v>2</v>
      </c>
      <c r="D10" s="87" t="str" cm="1">
        <f t="array" ref="D10">INDEX(Sheet3!$B:$B,Banat!$J$1)</f>
        <v>Dela Yuni Fauzatul Jannah</v>
      </c>
      <c r="E10" s="87"/>
      <c r="F10" s="87"/>
      <c r="G10" s="87"/>
      <c r="H10" s="25"/>
      <c r="I10" s="23"/>
      <c r="J10" s="23"/>
      <c r="K10" s="26"/>
      <c r="L10" s="23"/>
      <c r="M10" s="25"/>
      <c r="N10" s="27" t="s">
        <v>2</v>
      </c>
      <c r="O10" s="87" t="str" cm="1">
        <f t="array" ref="O10">INDEX(Sheet3!$B:$B,$J$1+1)</f>
        <v>Siti Nailatur Rosyidah</v>
      </c>
      <c r="P10" s="87"/>
      <c r="Q10" s="87"/>
      <c r="R10" s="87"/>
      <c r="S10" s="25"/>
    </row>
    <row r="11" spans="1:19" x14ac:dyDescent="0.25">
      <c r="A11" s="23"/>
      <c r="B11" s="25"/>
      <c r="C11" s="27" t="s">
        <v>1584</v>
      </c>
      <c r="D11" s="87" cm="1">
        <f t="array" ref="D11">INDEX(Sheet3!H:H,Banat!$J$1)</f>
        <v>0</v>
      </c>
      <c r="E11" s="87"/>
      <c r="F11" s="87"/>
      <c r="G11" s="87"/>
      <c r="H11" s="25"/>
      <c r="I11" s="23"/>
      <c r="J11" s="23"/>
      <c r="K11" s="26"/>
      <c r="L11" s="23"/>
      <c r="M11" s="25"/>
      <c r="N11" s="27" t="s">
        <v>1584</v>
      </c>
      <c r="O11" s="87" cm="1">
        <f t="array" ref="O11">INDEX(Sheet3!$H:$H,$J$1+1)</f>
        <v>0</v>
      </c>
      <c r="P11" s="87"/>
      <c r="Q11" s="87"/>
      <c r="R11" s="87"/>
      <c r="S11" s="25"/>
    </row>
    <row r="12" spans="1:19" x14ac:dyDescent="0.25">
      <c r="A12" s="23"/>
      <c r="B12" s="25"/>
      <c r="C12" s="27" t="s">
        <v>1585</v>
      </c>
      <c r="D12" s="88" t="str" cm="1">
        <f t="array" ref="D12">INDEX(Sheet3!$G:$G,$J$1)</f>
        <v>Sukodono, Pujer, Bondowoso</v>
      </c>
      <c r="E12" s="88"/>
      <c r="F12" s="88"/>
      <c r="G12" s="88"/>
      <c r="H12" s="25"/>
      <c r="I12" s="23"/>
      <c r="J12" s="23"/>
      <c r="K12" s="26"/>
      <c r="L12" s="23"/>
      <c r="M12" s="25"/>
      <c r="N12" s="27" t="s">
        <v>1585</v>
      </c>
      <c r="O12" s="88" t="str" cm="1">
        <f t="array" ref="O12">INDEX(Sheet3!$G:$G,$J$1+1)</f>
        <v>Sukodono, Pujer, Bondowoso</v>
      </c>
      <c r="P12" s="88"/>
      <c r="Q12" s="88"/>
      <c r="R12" s="88"/>
      <c r="S12" s="25"/>
    </row>
    <row r="13" spans="1:19" x14ac:dyDescent="0.25">
      <c r="A13" s="23"/>
      <c r="B13" s="25"/>
      <c r="C13" s="25"/>
      <c r="D13" s="88"/>
      <c r="E13" s="88"/>
      <c r="F13" s="88"/>
      <c r="G13" s="88"/>
      <c r="H13" s="25"/>
      <c r="I13" s="23"/>
      <c r="J13" s="23"/>
      <c r="K13" s="26"/>
      <c r="L13" s="23"/>
      <c r="M13" s="25"/>
      <c r="N13" s="25"/>
      <c r="O13" s="88"/>
      <c r="P13" s="88"/>
      <c r="Q13" s="88"/>
      <c r="R13" s="88"/>
      <c r="S13" s="25"/>
    </row>
    <row r="14" spans="1:19" x14ac:dyDescent="0.25">
      <c r="A14" s="23"/>
      <c r="B14" s="76" t="s">
        <v>1586</v>
      </c>
      <c r="C14" s="76"/>
      <c r="D14" s="76"/>
      <c r="E14" s="76"/>
      <c r="F14" s="76"/>
      <c r="G14" s="76"/>
      <c r="H14" s="24"/>
      <c r="I14" s="23"/>
      <c r="J14" s="23"/>
      <c r="K14" s="26"/>
      <c r="L14" s="23"/>
      <c r="M14" s="76" t="s">
        <v>1586</v>
      </c>
      <c r="N14" s="76"/>
      <c r="O14" s="76"/>
      <c r="P14" s="76"/>
      <c r="Q14" s="76"/>
      <c r="R14" s="76"/>
      <c r="S14" s="24"/>
    </row>
    <row r="15" spans="1:19" x14ac:dyDescent="0.25">
      <c r="A15" s="23"/>
      <c r="B15" s="25"/>
      <c r="C15" s="27" t="s">
        <v>1587</v>
      </c>
      <c r="D15" s="77" t="s">
        <v>1600</v>
      </c>
      <c r="E15" s="77"/>
      <c r="F15" s="77"/>
      <c r="G15" s="77"/>
      <c r="H15" s="77"/>
      <c r="I15" s="23"/>
      <c r="J15" s="23"/>
      <c r="K15" s="26"/>
      <c r="L15" s="23"/>
      <c r="M15" s="25"/>
      <c r="N15" s="27" t="s">
        <v>1587</v>
      </c>
      <c r="O15" s="77" t="str">
        <f>D15</f>
        <v>Senin - 23 Jumadil Ula 1446 H. - 24 November 2024 M.</v>
      </c>
      <c r="P15" s="77"/>
      <c r="Q15" s="77"/>
      <c r="R15" s="77"/>
      <c r="S15" s="77"/>
    </row>
    <row r="16" spans="1:19" x14ac:dyDescent="0.25">
      <c r="A16" s="23"/>
      <c r="B16" s="25"/>
      <c r="C16" s="27" t="s">
        <v>1588</v>
      </c>
      <c r="D16" s="77" t="s">
        <v>1601</v>
      </c>
      <c r="E16" s="77"/>
      <c r="F16" s="77"/>
      <c r="G16" s="77"/>
      <c r="H16" s="77"/>
      <c r="I16" s="23"/>
      <c r="J16" s="23"/>
      <c r="K16" s="26"/>
      <c r="L16" s="23"/>
      <c r="M16" s="25"/>
      <c r="N16" s="27" t="s">
        <v>1588</v>
      </c>
      <c r="O16" s="77" t="str">
        <f>D16</f>
        <v>Kamis - 26 Jumadil Ula 1446 H. - 28 November 2024 M.</v>
      </c>
      <c r="P16" s="77"/>
      <c r="Q16" s="77"/>
      <c r="R16" s="77"/>
      <c r="S16" s="77"/>
    </row>
    <row r="17" spans="1:19" x14ac:dyDescent="0.25">
      <c r="A17" s="23"/>
      <c r="B17" s="25" t="s">
        <v>2436</v>
      </c>
      <c r="C17" s="25"/>
      <c r="D17" s="25"/>
      <c r="E17" s="25"/>
      <c r="F17" s="25"/>
      <c r="G17" s="25"/>
      <c r="H17" s="25"/>
      <c r="I17" s="23"/>
      <c r="J17" s="23"/>
      <c r="K17" s="26"/>
      <c r="L17" s="23"/>
      <c r="M17" s="25" t="s">
        <v>2436</v>
      </c>
      <c r="N17" s="25"/>
      <c r="O17" s="25"/>
      <c r="P17" s="25"/>
      <c r="Q17" s="25"/>
      <c r="R17" s="25"/>
      <c r="S17" s="25"/>
    </row>
    <row r="18" spans="1:19" x14ac:dyDescent="0.25">
      <c r="A18" s="23"/>
      <c r="B18" s="25" t="s">
        <v>1590</v>
      </c>
      <c r="C18" s="25"/>
      <c r="D18" s="25"/>
      <c r="E18" s="25"/>
      <c r="F18" s="25"/>
      <c r="G18" s="25"/>
      <c r="H18" s="25"/>
      <c r="I18" s="23"/>
      <c r="J18" s="23"/>
      <c r="K18" s="26"/>
      <c r="L18" s="23"/>
      <c r="M18" s="25" t="s">
        <v>1590</v>
      </c>
      <c r="N18" s="25"/>
      <c r="O18" s="25"/>
      <c r="P18" s="25"/>
      <c r="Q18" s="25"/>
      <c r="R18" s="25"/>
      <c r="S18" s="25"/>
    </row>
    <row r="19" spans="1:19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6"/>
      <c r="L19" s="23"/>
      <c r="M19" s="23"/>
      <c r="N19" s="23"/>
      <c r="O19" s="23"/>
      <c r="P19" s="23"/>
      <c r="Q19" s="23"/>
      <c r="R19" s="23"/>
      <c r="S19" s="23"/>
    </row>
    <row r="20" spans="1:19" x14ac:dyDescent="0.25">
      <c r="A20" s="23"/>
      <c r="B20" s="23"/>
      <c r="C20" s="83" t="str" cm="1">
        <f t="array" ref="C20">INDEX(Sheet3!$E:$E,$J$1)</f>
        <v>C07</v>
      </c>
      <c r="D20" s="83"/>
      <c r="E20" s="23"/>
      <c r="F20" s="23"/>
      <c r="G20" s="23"/>
      <c r="H20" s="28" t="s">
        <v>1602</v>
      </c>
      <c r="I20" s="23"/>
      <c r="J20" s="23"/>
      <c r="K20" s="26"/>
      <c r="L20" s="23"/>
      <c r="M20" s="23"/>
      <c r="N20" s="83" t="str" cm="1">
        <f t="array" ref="N20">INDEX(Sheet3!$E:$E,$J$1+1)</f>
        <v>C07</v>
      </c>
      <c r="O20" s="83"/>
      <c r="P20" s="23"/>
      <c r="Q20" s="23"/>
      <c r="R20" s="23"/>
      <c r="S20" s="28" t="str">
        <f>H20</f>
        <v>Beddian, 22 Jumadil Ula 1446</v>
      </c>
    </row>
    <row r="21" spans="1:19" x14ac:dyDescent="0.25">
      <c r="A21" s="23"/>
      <c r="B21" s="23"/>
      <c r="C21" s="84"/>
      <c r="D21" s="84"/>
      <c r="E21" s="29"/>
      <c r="F21" s="23"/>
      <c r="G21" s="23"/>
      <c r="H21" s="28" t="s">
        <v>1591</v>
      </c>
      <c r="I21" s="23"/>
      <c r="J21" s="23"/>
      <c r="K21" s="26"/>
      <c r="L21" s="23"/>
      <c r="M21" s="23"/>
      <c r="N21" s="84"/>
      <c r="O21" s="84"/>
      <c r="P21" s="29"/>
      <c r="Q21" s="23"/>
      <c r="R21" s="23"/>
      <c r="S21" s="28" t="s">
        <v>1591</v>
      </c>
    </row>
    <row r="22" spans="1:19" x14ac:dyDescent="0.25">
      <c r="A22" s="23"/>
      <c r="B22" s="23"/>
      <c r="C22" s="85" cm="1">
        <f t="array" ref="C22">INDEX(Sheet3!$D:$D,$J$1)</f>
        <v>0</v>
      </c>
      <c r="D22" s="85"/>
      <c r="E22" s="29" t="s">
        <v>1592</v>
      </c>
      <c r="F22" s="23"/>
      <c r="G22" s="23"/>
      <c r="H22" s="25"/>
      <c r="I22" s="23"/>
      <c r="J22" s="23"/>
      <c r="K22" s="26"/>
      <c r="L22" s="23"/>
      <c r="M22" s="23"/>
      <c r="N22" s="85" cm="1">
        <f t="array" ref="N22">INDEX(Sheet3!$D:$D,$J$1+1)</f>
        <v>0</v>
      </c>
      <c r="O22" s="85"/>
      <c r="P22" s="29" t="s">
        <v>1592</v>
      </c>
      <c r="Q22" s="23"/>
      <c r="R22" s="23"/>
      <c r="S22" s="25"/>
    </row>
    <row r="23" spans="1:19" x14ac:dyDescent="0.25">
      <c r="A23" s="23"/>
      <c r="B23" s="23"/>
      <c r="C23" s="86"/>
      <c r="D23" s="86"/>
      <c r="E23" s="23"/>
      <c r="F23" s="23"/>
      <c r="G23" s="23"/>
      <c r="H23" s="25"/>
      <c r="I23" s="23"/>
      <c r="J23" s="23"/>
      <c r="K23" s="26"/>
      <c r="L23" s="23"/>
      <c r="M23" s="23"/>
      <c r="N23" s="86"/>
      <c r="O23" s="86"/>
      <c r="P23" s="23"/>
      <c r="Q23" s="23"/>
      <c r="R23" s="23"/>
      <c r="S23" s="25"/>
    </row>
    <row r="24" spans="1:19" x14ac:dyDescent="0.25">
      <c r="A24" s="23"/>
      <c r="B24" s="23"/>
      <c r="C24" s="75"/>
      <c r="D24" s="75"/>
      <c r="E24" s="23"/>
      <c r="F24" s="23"/>
      <c r="G24" s="23"/>
      <c r="H24" s="25"/>
      <c r="I24" s="23"/>
      <c r="J24" s="23"/>
      <c r="K24" s="26"/>
      <c r="L24" s="23"/>
      <c r="M24" s="23"/>
      <c r="N24" s="75"/>
      <c r="O24" s="75"/>
      <c r="P24" s="23"/>
      <c r="Q24" s="23"/>
      <c r="R24" s="23"/>
      <c r="S24" s="25"/>
    </row>
    <row r="25" spans="1:19" x14ac:dyDescent="0.25">
      <c r="A25" s="23"/>
      <c r="B25" s="23"/>
      <c r="C25" s="23"/>
      <c r="D25" s="23" t="s">
        <v>92</v>
      </c>
      <c r="E25" s="23"/>
      <c r="F25" s="23"/>
      <c r="G25" s="23"/>
      <c r="H25" s="28" t="s">
        <v>1593</v>
      </c>
      <c r="I25" s="23"/>
      <c r="J25" s="23"/>
      <c r="K25" s="26"/>
      <c r="L25" s="23"/>
      <c r="M25" s="23"/>
      <c r="N25" s="23"/>
      <c r="O25" s="23"/>
      <c r="P25" s="23"/>
      <c r="Q25" s="23"/>
      <c r="R25" s="23"/>
      <c r="S25" s="28" t="s">
        <v>1593</v>
      </c>
    </row>
    <row r="26" spans="1:19" x14ac:dyDescent="0.25">
      <c r="A26" s="23"/>
      <c r="B26" s="23"/>
      <c r="C26" s="23"/>
      <c r="D26" s="23"/>
      <c r="E26" s="23"/>
      <c r="F26" s="23"/>
      <c r="G26" s="23"/>
      <c r="H26" s="28"/>
      <c r="I26" s="23"/>
      <c r="J26" s="23"/>
      <c r="K26" s="26"/>
      <c r="L26" s="23"/>
      <c r="M26" s="23"/>
      <c r="N26" s="23"/>
      <c r="O26" s="23"/>
      <c r="P26" s="23"/>
      <c r="Q26" s="23"/>
      <c r="R26" s="23"/>
      <c r="S26" s="28"/>
    </row>
    <row r="27" spans="1:19" ht="22.5" customHeight="1" x14ac:dyDescent="0.25">
      <c r="A27" s="23"/>
      <c r="B27" s="23"/>
      <c r="C27" s="23"/>
      <c r="D27" s="23"/>
      <c r="E27" s="23"/>
      <c r="F27" s="23"/>
      <c r="G27" s="23"/>
      <c r="H27" s="28"/>
      <c r="I27" s="23"/>
      <c r="J27" s="23"/>
      <c r="K27" s="26"/>
      <c r="L27" s="23"/>
      <c r="M27" s="23"/>
      <c r="N27" s="23"/>
      <c r="O27" s="23"/>
      <c r="P27" s="23"/>
      <c r="Q27" s="23"/>
      <c r="R27" s="23"/>
      <c r="S27" s="28"/>
    </row>
    <row r="28" spans="1:19" x14ac:dyDescent="0.25">
      <c r="A28" s="23"/>
      <c r="B28" s="23"/>
      <c r="C28" s="23"/>
      <c r="D28" s="23"/>
      <c r="E28" s="23"/>
      <c r="F28" s="23"/>
      <c r="G28" s="23"/>
      <c r="H28" s="28"/>
      <c r="I28" s="23"/>
      <c r="J28" s="23"/>
      <c r="K28" s="26"/>
      <c r="L28" s="23"/>
      <c r="M28" s="23"/>
      <c r="N28" s="23"/>
      <c r="O28" s="23"/>
      <c r="P28" s="23"/>
      <c r="Q28" s="23"/>
      <c r="R28" s="23"/>
      <c r="S28" s="28"/>
    </row>
    <row r="29" spans="1:19" ht="9" customHeight="1" x14ac:dyDescent="0.25">
      <c r="A29" s="23"/>
      <c r="B29" s="23"/>
      <c r="C29" s="23"/>
      <c r="D29" s="23"/>
      <c r="E29" s="23"/>
      <c r="F29" s="23"/>
      <c r="G29" s="23"/>
      <c r="H29" s="28"/>
      <c r="I29" s="23"/>
      <c r="J29" s="23"/>
      <c r="K29" s="26"/>
      <c r="L29" s="23"/>
      <c r="M29" s="23"/>
      <c r="N29" s="23"/>
      <c r="O29" s="23"/>
      <c r="P29" s="23"/>
      <c r="Q29" s="23"/>
      <c r="R29" s="23"/>
      <c r="S29" s="28"/>
    </row>
    <row r="30" spans="1:19" ht="26.25" customHeight="1" x14ac:dyDescent="0.25">
      <c r="A30" s="30"/>
      <c r="B30" s="30"/>
      <c r="C30" s="31" t="s">
        <v>1594</v>
      </c>
      <c r="D30" s="70" t="s">
        <v>1603</v>
      </c>
      <c r="E30" s="70"/>
      <c r="F30" s="70"/>
      <c r="G30" s="70"/>
      <c r="H30" s="70"/>
      <c r="I30" s="30"/>
      <c r="J30" s="30"/>
      <c r="K30" s="32"/>
      <c r="L30" s="30"/>
      <c r="M30" s="30"/>
      <c r="N30" s="31" t="s">
        <v>1594</v>
      </c>
      <c r="O30" s="70" t="s">
        <v>1603</v>
      </c>
      <c r="P30" s="70"/>
      <c r="Q30" s="70"/>
      <c r="R30" s="70"/>
      <c r="S30" s="70"/>
    </row>
    <row r="31" spans="1:19" ht="25.5" customHeight="1" x14ac:dyDescent="0.25">
      <c r="A31" s="30"/>
      <c r="B31" s="30"/>
      <c r="C31" s="31" t="s">
        <v>1595</v>
      </c>
      <c r="D31" s="70" t="s">
        <v>1596</v>
      </c>
      <c r="E31" s="70"/>
      <c r="F31" s="70"/>
      <c r="G31" s="70"/>
      <c r="H31" s="70"/>
      <c r="I31" s="30"/>
      <c r="J31" s="30"/>
      <c r="K31" s="32"/>
      <c r="L31" s="30"/>
      <c r="M31" s="30"/>
      <c r="N31" s="31" t="s">
        <v>1595</v>
      </c>
      <c r="O31" s="70" t="s">
        <v>1596</v>
      </c>
      <c r="P31" s="70"/>
      <c r="Q31" s="70"/>
      <c r="R31" s="70"/>
      <c r="S31" s="70"/>
    </row>
    <row r="32" spans="1:19" ht="33.75" customHeight="1" x14ac:dyDescent="0.25">
      <c r="A32" s="30"/>
      <c r="B32" s="30"/>
      <c r="C32" s="31" t="s">
        <v>1597</v>
      </c>
      <c r="D32" s="70" t="s">
        <v>1598</v>
      </c>
      <c r="E32" s="70"/>
      <c r="F32" s="70"/>
      <c r="G32" s="70"/>
      <c r="H32" s="70"/>
      <c r="I32" s="30"/>
      <c r="J32" s="30"/>
      <c r="K32" s="32"/>
      <c r="L32" s="30"/>
      <c r="M32" s="30"/>
      <c r="N32" s="31" t="s">
        <v>1597</v>
      </c>
      <c r="O32" s="70" t="s">
        <v>1598</v>
      </c>
      <c r="P32" s="70"/>
      <c r="Q32" s="70"/>
      <c r="R32" s="70"/>
      <c r="S32" s="70"/>
    </row>
    <row r="33" spans="3:15" x14ac:dyDescent="0.25">
      <c r="C33" s="31" t="s">
        <v>1599</v>
      </c>
      <c r="D33" s="34" t="s">
        <v>1604</v>
      </c>
      <c r="N33" s="31" t="s">
        <v>1599</v>
      </c>
      <c r="O33" s="34" t="s">
        <v>1604</v>
      </c>
    </row>
  </sheetData>
  <mergeCells count="30">
    <mergeCell ref="C6:E6"/>
    <mergeCell ref="N6:P6"/>
    <mergeCell ref="C7:E7"/>
    <mergeCell ref="N7:P7"/>
    <mergeCell ref="B9:F9"/>
    <mergeCell ref="M9:Q9"/>
    <mergeCell ref="D10:G10"/>
    <mergeCell ref="O10:R10"/>
    <mergeCell ref="D11:G11"/>
    <mergeCell ref="O11:R11"/>
    <mergeCell ref="D12:G13"/>
    <mergeCell ref="O12:R13"/>
    <mergeCell ref="B14:G14"/>
    <mergeCell ref="M14:R14"/>
    <mergeCell ref="D15:H15"/>
    <mergeCell ref="O15:S15"/>
    <mergeCell ref="D16:H16"/>
    <mergeCell ref="O16:S16"/>
    <mergeCell ref="C20:D21"/>
    <mergeCell ref="N20:O21"/>
    <mergeCell ref="C22:D23"/>
    <mergeCell ref="N22:O23"/>
    <mergeCell ref="C24:D24"/>
    <mergeCell ref="N24:O24"/>
    <mergeCell ref="D30:H30"/>
    <mergeCell ref="O30:S30"/>
    <mergeCell ref="D31:H31"/>
    <mergeCell ref="O31:S31"/>
    <mergeCell ref="D32:H32"/>
    <mergeCell ref="O32:S32"/>
  </mergeCells>
  <pageMargins left="0.23622047244094491" right="0.23622047244094491" top="0.39370078740157483" bottom="0" header="0.19685039370078741" footer="0"/>
  <pageSetup paperSize="10000" orientation="landscape" horizontalDpi="0" verticalDpi="0" r:id="rId1"/>
  <headerFooter>
    <oddHeader>&amp;L&amp;G&amp;R&amp;G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6FD0D-8098-4C99-A118-B93250B35E56}">
  <sheetPr codeName="Sheet3" filterMode="1"/>
  <dimension ref="A1:P297"/>
  <sheetViews>
    <sheetView topLeftCell="B1" workbookViewId="0">
      <pane xSplit="6" ySplit="4" topLeftCell="H285" activePane="bottomRight" state="frozen"/>
      <selection activeCell="B1" sqref="B1"/>
      <selection pane="topRight" activeCell="H1" sqref="H1"/>
      <selection pane="bottomLeft" activeCell="B5" sqref="B5"/>
      <selection pane="bottomRight" activeCell="K7" sqref="K7"/>
    </sheetView>
  </sheetViews>
  <sheetFormatPr defaultRowHeight="15" x14ac:dyDescent="0.25"/>
  <cols>
    <col min="1" max="1" width="7.85546875" style="9" hidden="1" customWidth="1"/>
    <col min="2" max="2" width="3.85546875" style="10" customWidth="1"/>
    <col min="3" max="3" width="7.140625" style="9" hidden="1" customWidth="1"/>
    <col min="4" max="4" width="5.42578125" style="10" customWidth="1"/>
    <col min="5" max="5" width="8.28515625" style="10" customWidth="1"/>
    <col min="6" max="6" width="0.42578125" style="9" hidden="1" customWidth="1"/>
    <col min="7" max="7" width="33.5703125" style="9" bestFit="1" customWidth="1"/>
    <col min="8" max="8" width="10.7109375" style="11" customWidth="1"/>
    <col min="9" max="9" width="18" style="11" bestFit="1" customWidth="1"/>
    <col min="10" max="10" width="8.28515625" style="10" bestFit="1" customWidth="1"/>
    <col min="11" max="11" width="85.28515625" style="9" customWidth="1"/>
    <col min="12" max="12" width="28.140625" style="9" hidden="1" customWidth="1"/>
    <col min="13" max="13" width="20.42578125" style="9" hidden="1" customWidth="1"/>
    <col min="14" max="14" width="25.85546875" style="9" bestFit="1" customWidth="1"/>
    <col min="15" max="16384" width="9.140625" style="9"/>
  </cols>
  <sheetData>
    <row r="1" spans="1:16" x14ac:dyDescent="0.25">
      <c r="B1" s="90" t="s">
        <v>1581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</row>
    <row r="3" spans="1:16" s="10" customFormat="1" ht="20.100000000000001" customHeight="1" x14ac:dyDescent="0.25">
      <c r="A3" s="12" t="str">
        <f>Sheet1!A1</f>
        <v>No Urut</v>
      </c>
      <c r="B3" s="14" t="s">
        <v>1580</v>
      </c>
      <c r="C3" s="14">
        <f>Sheet1!C1</f>
        <v>0</v>
      </c>
      <c r="D3" s="14" t="str">
        <f>Sheet1!D1</f>
        <v>Kelas</v>
      </c>
      <c r="E3" s="14" t="str">
        <f>Sheet1!E1</f>
        <v>Lembaga</v>
      </c>
      <c r="F3" s="14" t="str">
        <f>Sheet1!F1</f>
        <v>Nomor Induk</v>
      </c>
      <c r="G3" s="14" t="str">
        <f>Sheet1!G1</f>
        <v>Nama</v>
      </c>
      <c r="H3" s="15" t="str">
        <f>Sheet1!H1</f>
        <v>Tempat Lahir</v>
      </c>
      <c r="I3" s="14" t="str">
        <f>Sheet1!I1</f>
        <v>Tanggal Lahir</v>
      </c>
      <c r="J3" s="14" t="str">
        <f>Sheet1!J1</f>
        <v>Domisili</v>
      </c>
      <c r="K3" s="14" t="str">
        <f>Sheet1!K1</f>
        <v>Alamat Lengkap</v>
      </c>
      <c r="L3" s="14" t="str">
        <f>Sheet1!L1</f>
        <v>Nama Orang Tua</v>
      </c>
      <c r="M3" s="14">
        <f>Sheet1!M1</f>
        <v>0</v>
      </c>
      <c r="N3" s="14" t="str">
        <f>Sheet1!N1</f>
        <v>Umur</v>
      </c>
      <c r="O3" s="14" t="s">
        <v>1582</v>
      </c>
      <c r="P3" s="14"/>
    </row>
    <row r="4" spans="1:16" ht="20.100000000000001" hidden="1" customHeight="1" x14ac:dyDescent="0.25">
      <c r="A4" s="13">
        <f>Sheet1!A2</f>
        <v>1</v>
      </c>
      <c r="B4" s="14">
        <v>1</v>
      </c>
      <c r="C4" s="16">
        <f>Sheet1!C2</f>
        <v>0</v>
      </c>
      <c r="D4" s="14" t="str">
        <f>Sheet1!D2</f>
        <v>A</v>
      </c>
      <c r="E4" s="14" t="str">
        <f>Sheet1!E2</f>
        <v>Isti'dadiyah</v>
      </c>
      <c r="F4" s="16">
        <f>Sheet1!F2</f>
        <v>1450198</v>
      </c>
      <c r="G4" s="16" t="str">
        <f>Sheet1!G2</f>
        <v>Muhammad Saiful Ulum</v>
      </c>
      <c r="H4" s="15" t="str">
        <f>Sheet1!H2</f>
        <v>Bondowoso</v>
      </c>
      <c r="I4" s="17">
        <f>Sheet1!I2</f>
        <v>39365.416666666664</v>
      </c>
      <c r="J4" s="14">
        <v>0</v>
      </c>
      <c r="K4" s="16" t="str">
        <f>Sheet1!K2</f>
        <v>Sumber Balen, Rt 19, Rw 4, Pakisan, Tlogosari, Bondowoso</v>
      </c>
      <c r="L4" s="16" t="str">
        <f>Sheet1!L2</f>
        <v>Wawan Hardiansyah</v>
      </c>
      <c r="M4" s="16" t="str">
        <f>Sheet1!M2</f>
        <v>Tutik</v>
      </c>
      <c r="N4" s="16" t="str">
        <f ca="1">Sheet1!N2</f>
        <v>17 Tahun, 2 Bulan, 11 Hari</v>
      </c>
      <c r="O4" s="16"/>
      <c r="P4" s="16"/>
    </row>
    <row r="5" spans="1:16" ht="18" hidden="1" customHeight="1" x14ac:dyDescent="0.25">
      <c r="A5" s="13">
        <f>Sheet1!A3</f>
        <v>2</v>
      </c>
      <c r="B5" s="14">
        <v>2</v>
      </c>
      <c r="C5" s="16">
        <f>Sheet1!C3</f>
        <v>0</v>
      </c>
      <c r="D5" s="14" t="str">
        <f>Sheet1!D3</f>
        <v>2B</v>
      </c>
      <c r="E5" s="14" t="str">
        <f>Sheet1!E3</f>
        <v>Ulya</v>
      </c>
      <c r="F5" s="16">
        <f>Sheet1!F3</f>
        <v>1535</v>
      </c>
      <c r="G5" s="16" t="str">
        <f>Sheet1!G3</f>
        <v>Faizal</v>
      </c>
      <c r="H5" s="15" t="str">
        <f>Sheet1!H3</f>
        <v>Bondowoso</v>
      </c>
      <c r="I5" s="17" t="str">
        <f>Sheet1!I3</f>
        <v>17 Agustus 2005</v>
      </c>
      <c r="J5" s="14" t="str">
        <f>Sheet1!J3</f>
        <v>A 02</v>
      </c>
      <c r="K5" s="16" t="str">
        <f>Sheet1!K3</f>
        <v>Maskuning Kulon, 015/004, , Kec.Pujer, Kab.Bondowoso</v>
      </c>
      <c r="L5" s="16" t="str">
        <f>Sheet1!L3</f>
        <v>Mahmudi</v>
      </c>
      <c r="M5" s="16" t="str">
        <f>Sheet1!M3</f>
        <v>Sunarti</v>
      </c>
      <c r="N5" s="16" t="str">
        <f ca="1">Sheet1!N3</f>
        <v>19 Tahun, 4 Bulan, 4 Hari</v>
      </c>
      <c r="O5" s="16"/>
      <c r="P5" s="16"/>
    </row>
    <row r="6" spans="1:16" ht="18" hidden="1" customHeight="1" x14ac:dyDescent="0.25">
      <c r="A6" s="13">
        <f>Sheet1!A4</f>
        <v>3</v>
      </c>
      <c r="B6" s="14">
        <v>3</v>
      </c>
      <c r="C6" s="16">
        <f>Sheet1!C4</f>
        <v>0</v>
      </c>
      <c r="D6" s="14" t="str">
        <f>Sheet1!D4</f>
        <v>2B</v>
      </c>
      <c r="E6" s="14" t="str">
        <f>Sheet1!E4</f>
        <v>Ulya</v>
      </c>
      <c r="F6" s="16">
        <f>Sheet1!F4</f>
        <v>1584</v>
      </c>
      <c r="G6" s="16" t="str">
        <f>Sheet1!G4</f>
        <v>Muhammad Irfan</v>
      </c>
      <c r="H6" s="15" t="str">
        <f>Sheet1!H4</f>
        <v>Bondowoso</v>
      </c>
      <c r="I6" s="17" t="str">
        <f>Sheet1!I4</f>
        <v>09 Oktober 2004</v>
      </c>
      <c r="J6" s="14" t="str">
        <f>Sheet1!J4</f>
        <v>A 02</v>
      </c>
      <c r="K6" s="16" t="str">
        <f>Sheet1!K4</f>
        <v>Maskuning Kulon, Rt 011/Rw 003, , Kec. Pujer, Kab. Bondowoso</v>
      </c>
      <c r="L6" s="16" t="str">
        <f>Sheet1!L4</f>
        <v>Hartono</v>
      </c>
      <c r="M6" s="16" t="str">
        <f>Sheet1!M4</f>
        <v>Sumiati</v>
      </c>
      <c r="N6" s="16" t="str">
        <f ca="1">Sheet1!N4</f>
        <v>20 Tahun, 2 Bulan, 12 Hari</v>
      </c>
      <c r="O6" s="16"/>
      <c r="P6" s="16"/>
    </row>
    <row r="7" spans="1:16" ht="18" hidden="1" customHeight="1" x14ac:dyDescent="0.25">
      <c r="A7" s="13">
        <f>Sheet1!A5</f>
        <v>4</v>
      </c>
      <c r="B7" s="14">
        <v>4</v>
      </c>
      <c r="C7" s="16">
        <f>Sheet1!C5</f>
        <v>0</v>
      </c>
      <c r="D7" s="14">
        <f>Sheet1!D5</f>
        <v>1</v>
      </c>
      <c r="E7" s="14" t="str">
        <f>Sheet1!E5</f>
        <v>Ulya</v>
      </c>
      <c r="F7" s="16">
        <f>Sheet1!F5</f>
        <v>2529</v>
      </c>
      <c r="G7" s="16" t="str">
        <f>Sheet1!G5</f>
        <v>Muhammad Wahedi</v>
      </c>
      <c r="H7" s="15" t="str">
        <f>Sheet1!H5</f>
        <v>Bondowoso</v>
      </c>
      <c r="I7" s="17" t="str">
        <f>Sheet1!I5</f>
        <v>15 Juni 2002</v>
      </c>
      <c r="J7" s="14" t="str">
        <f>Sheet1!J5</f>
        <v>A 02</v>
      </c>
      <c r="K7" s="16" t="str">
        <f>Sheet1!K5</f>
        <v>GENTONG</v>
      </c>
      <c r="L7" s="16" t="str">
        <f>Sheet1!L5</f>
        <v>Fairosi</v>
      </c>
      <c r="M7" s="16" t="str">
        <f>Sheet1!M5</f>
        <v>Sutrik</v>
      </c>
      <c r="N7" s="16" t="str">
        <f ca="1">Sheet1!N5</f>
        <v>22 Tahun, 6 Bulan, 6 Hari</v>
      </c>
      <c r="O7" s="16"/>
      <c r="P7" s="16"/>
    </row>
    <row r="8" spans="1:16" ht="18" hidden="1" customHeight="1" x14ac:dyDescent="0.25">
      <c r="A8" s="13">
        <f>Sheet1!A6</f>
        <v>5</v>
      </c>
      <c r="B8" s="14">
        <v>5</v>
      </c>
      <c r="C8" s="16" t="str">
        <f>Sheet1!C6</f>
        <v>-</v>
      </c>
      <c r="D8" s="14" t="str">
        <f>Sheet1!D6</f>
        <v>3C</v>
      </c>
      <c r="E8" s="14" t="str">
        <f>Sheet1!E6</f>
        <v>Wustha</v>
      </c>
      <c r="F8" s="16">
        <f>Sheet1!F6</f>
        <v>2741</v>
      </c>
      <c r="G8" s="16" t="str">
        <f>Sheet1!G6</f>
        <v>Mochammad Lutfi Irwansyah</v>
      </c>
      <c r="H8" s="15" t="str">
        <f>Sheet1!H6</f>
        <v>Bondowoso</v>
      </c>
      <c r="I8" s="17">
        <f>Sheet1!I6</f>
        <v>39379</v>
      </c>
      <c r="J8" s="14" t="str">
        <f>Sheet1!J6</f>
        <v>A 02</v>
      </c>
      <c r="K8" s="16" t="str">
        <f>Sheet1!K6</f>
        <v>Taman-Grujugan-Bondowoso</v>
      </c>
      <c r="L8" s="16" t="str">
        <f>Sheet1!L6</f>
        <v>Abdus Salam</v>
      </c>
      <c r="M8" s="16" t="str">
        <f>Sheet1!M6</f>
        <v>Leni Dwi Putri</v>
      </c>
      <c r="N8" s="16" t="str">
        <f ca="1">Sheet1!N6</f>
        <v>17 Tahun, 1 Bulan, 27 Hari</v>
      </c>
      <c r="O8" s="16"/>
      <c r="P8" s="16"/>
    </row>
    <row r="9" spans="1:16" ht="18" hidden="1" customHeight="1" x14ac:dyDescent="0.25">
      <c r="A9" s="13">
        <f>Sheet1!A7</f>
        <v>6</v>
      </c>
      <c r="B9" s="14">
        <v>6</v>
      </c>
      <c r="C9" s="16" t="str">
        <f>Sheet1!C7</f>
        <v>2 SMA</v>
      </c>
      <c r="D9" s="14" t="str">
        <f>Sheet1!D7</f>
        <v>2A</v>
      </c>
      <c r="E9" s="14" t="str">
        <f>Sheet1!E7</f>
        <v>Wustha</v>
      </c>
      <c r="F9" s="16">
        <f>Sheet1!F7</f>
        <v>3218</v>
      </c>
      <c r="G9" s="16" t="str">
        <f>Sheet1!G7</f>
        <v>Muhammad Fitri Nur Rayyan Syah</v>
      </c>
      <c r="H9" s="15" t="str">
        <f>Sheet1!H7</f>
        <v>Bondowoso</v>
      </c>
      <c r="I9" s="17">
        <f>Sheet1!I7</f>
        <v>39374</v>
      </c>
      <c r="J9" s="14" t="str">
        <f>Sheet1!J7</f>
        <v>A 02</v>
      </c>
      <c r="K9" s="16" t="str">
        <f>Sheet1!K7</f>
        <v>Tlogosari 016/004 Tlogosari Tlogosari Bondowoso</v>
      </c>
      <c r="L9" s="16" t="str">
        <f>Sheet1!L7</f>
        <v>Supandi</v>
      </c>
      <c r="M9" s="16" t="str">
        <f>Sheet1!M7</f>
        <v>Sukarsih</v>
      </c>
      <c r="N9" s="16" t="str">
        <f ca="1">Sheet1!N7</f>
        <v>17 Tahun, 2 Bulan, 2 Hari</v>
      </c>
      <c r="O9" s="16"/>
      <c r="P9" s="16"/>
    </row>
    <row r="10" spans="1:16" ht="18" hidden="1" customHeight="1" x14ac:dyDescent="0.25">
      <c r="A10" s="13">
        <f>Sheet1!A8</f>
        <v>7</v>
      </c>
      <c r="B10" s="14">
        <v>7</v>
      </c>
      <c r="C10" s="16">
        <f>Sheet1!C8</f>
        <v>0</v>
      </c>
      <c r="D10" s="14" t="str">
        <f>Sheet1!D8</f>
        <v>3B</v>
      </c>
      <c r="E10" s="14" t="str">
        <f>Sheet1!E8</f>
        <v>Wustha</v>
      </c>
      <c r="F10" s="16">
        <f>Sheet1!F8</f>
        <v>2885</v>
      </c>
      <c r="G10" s="16" t="str">
        <f>Sheet1!G8</f>
        <v>Muhammad Farhan</v>
      </c>
      <c r="H10" s="15" t="str">
        <f>Sheet1!H8</f>
        <v>Bondowoso</v>
      </c>
      <c r="I10" s="17">
        <f>Sheet1!I8</f>
        <v>39205</v>
      </c>
      <c r="J10" s="14" t="str">
        <f>Sheet1!J8</f>
        <v>A 02</v>
      </c>
      <c r="K10" s="16" t="str">
        <f>Sheet1!K8</f>
        <v>Pakel-Kasemek-Tenggarang-Bondowoso</v>
      </c>
      <c r="L10" s="16" t="str">
        <f>Sheet1!L8</f>
        <v>Junaidi / P. Munip</v>
      </c>
      <c r="M10" s="16" t="str">
        <f>Sheet1!M8</f>
        <v>Ye</v>
      </c>
      <c r="N10" s="16" t="str">
        <f ca="1">Sheet1!N8</f>
        <v>17 Tahun, 7 Bulan, 18 Hari</v>
      </c>
      <c r="O10" s="16"/>
      <c r="P10" s="16"/>
    </row>
    <row r="11" spans="1:16" ht="18" hidden="1" customHeight="1" x14ac:dyDescent="0.25">
      <c r="A11" s="13">
        <f>Sheet1!A10</f>
        <v>9</v>
      </c>
      <c r="B11" s="14">
        <v>8</v>
      </c>
      <c r="C11" s="16">
        <f>Sheet1!C10</f>
        <v>0</v>
      </c>
      <c r="D11" s="14">
        <f>Sheet1!D10</f>
        <v>1</v>
      </c>
      <c r="E11" s="14" t="str">
        <f>Sheet1!E10</f>
        <v>Ulya</v>
      </c>
      <c r="F11" s="16">
        <f>Sheet1!F10</f>
        <v>2435</v>
      </c>
      <c r="G11" s="16" t="str">
        <f>Sheet1!G10</f>
        <v>Abdul Wafi Ali Sandi</v>
      </c>
      <c r="H11" s="15" t="str">
        <f>Sheet1!H10</f>
        <v>Bondowoso</v>
      </c>
      <c r="I11" s="17" t="str">
        <f>Sheet1!I10</f>
        <v>29 Okt 2004</v>
      </c>
      <c r="J11" s="14" t="str">
        <f>Sheet1!J10</f>
        <v>A 03</v>
      </c>
      <c r="K11" s="16" t="str">
        <f>Sheet1!K10</f>
        <v>Jebung Kidul</v>
      </c>
      <c r="L11" s="16" t="str">
        <f>Sheet1!L10</f>
        <v>Busiri</v>
      </c>
      <c r="M11" s="16">
        <f>Sheet1!M10</f>
        <v>0</v>
      </c>
      <c r="N11" s="16" t="str">
        <f ca="1">Sheet1!N10</f>
        <v>20 Tahun, 1 Bulan, 22 Hari</v>
      </c>
      <c r="O11" s="16"/>
      <c r="P11" s="16"/>
    </row>
    <row r="12" spans="1:16" ht="18" hidden="1" customHeight="1" x14ac:dyDescent="0.25">
      <c r="A12" s="13">
        <f>Sheet1!A11</f>
        <v>10</v>
      </c>
      <c r="B12" s="14">
        <v>9</v>
      </c>
      <c r="C12" s="16">
        <f>Sheet1!C11</f>
        <v>0</v>
      </c>
      <c r="D12" s="14">
        <f>Sheet1!D11</f>
        <v>1</v>
      </c>
      <c r="E12" s="14" t="str">
        <f>Sheet1!E11</f>
        <v>Ulya</v>
      </c>
      <c r="F12" s="16">
        <f>Sheet1!F11</f>
        <v>2464</v>
      </c>
      <c r="G12" s="16" t="str">
        <f>Sheet1!G11</f>
        <v>Lukman Dainil Hakim</v>
      </c>
      <c r="H12" s="15" t="str">
        <f>Sheet1!H11</f>
        <v>Bondowoso</v>
      </c>
      <c r="I12" s="17" t="str">
        <f>Sheet1!I11</f>
        <v>17 Okt 2003</v>
      </c>
      <c r="J12" s="14" t="str">
        <f>Sheet1!J11</f>
        <v>A 03</v>
      </c>
      <c r="K12" s="16" t="str">
        <f>Sheet1!K11</f>
        <v>Maskuning Wetan</v>
      </c>
      <c r="L12" s="16" t="str">
        <f>Sheet1!L11</f>
        <v>Muhammad Tahir</v>
      </c>
      <c r="M12" s="16" t="str">
        <f>Sheet1!M11</f>
        <v>Sudarsih</v>
      </c>
      <c r="N12" s="16" t="str">
        <f ca="1">Sheet1!N11</f>
        <v>21 Tahun, 2 Bulan, 4 Hari</v>
      </c>
      <c r="O12" s="16"/>
      <c r="P12" s="16"/>
    </row>
    <row r="13" spans="1:16" ht="18" hidden="1" customHeight="1" x14ac:dyDescent="0.25">
      <c r="A13" s="13">
        <f>Sheet1!A12</f>
        <v>11</v>
      </c>
      <c r="B13" s="14">
        <v>10</v>
      </c>
      <c r="C13" s="16" t="str">
        <f>Sheet1!C12</f>
        <v>3 SMA</v>
      </c>
      <c r="D13" s="14" t="str">
        <f>Sheet1!D12</f>
        <v>1E</v>
      </c>
      <c r="E13" s="14" t="str">
        <f>Sheet1!E12</f>
        <v>Wustha</v>
      </c>
      <c r="F13" s="16">
        <f>Sheet1!F12</f>
        <v>3741</v>
      </c>
      <c r="G13" s="16" t="str">
        <f>Sheet1!G12</f>
        <v>Ahmad Fauzan</v>
      </c>
      <c r="H13" s="15">
        <f>Sheet1!H12</f>
        <v>0</v>
      </c>
      <c r="I13" s="17">
        <f>Sheet1!I12</f>
        <v>0</v>
      </c>
      <c r="J13" s="14" t="str">
        <f>Sheet1!J12</f>
        <v>A 03</v>
      </c>
      <c r="K13" s="16">
        <f>Sheet1!K12</f>
        <v>0</v>
      </c>
      <c r="L13" s="16" t="str">
        <f>Sheet1!L12</f>
        <v>mahfudz</v>
      </c>
      <c r="M13" s="16" t="str">
        <f>Sheet1!M12</f>
        <v>Maryam</v>
      </c>
      <c r="N13" s="16" t="str">
        <f ca="1">Sheet1!N12</f>
        <v>124 Tahun, 11 Bulan, 21 Hari</v>
      </c>
      <c r="O13" s="16"/>
      <c r="P13" s="16"/>
    </row>
    <row r="14" spans="1:16" ht="18" hidden="1" customHeight="1" x14ac:dyDescent="0.25">
      <c r="A14" s="13">
        <f>Sheet1!A13</f>
        <v>12</v>
      </c>
      <c r="B14" s="14">
        <v>11</v>
      </c>
      <c r="C14" s="16">
        <f>Sheet1!C13</f>
        <v>0</v>
      </c>
      <c r="D14" s="14" t="str">
        <f>Sheet1!D13</f>
        <v>1A</v>
      </c>
      <c r="E14" s="14" t="str">
        <f>Sheet1!E13</f>
        <v>Wustha</v>
      </c>
      <c r="F14" s="16">
        <f>Sheet1!F13</f>
        <v>3210</v>
      </c>
      <c r="G14" s="16" t="str">
        <f>Sheet1!G13</f>
        <v>Mochammad Fais Badrus Soleh</v>
      </c>
      <c r="H14" s="15" t="str">
        <f>Sheet1!H13</f>
        <v>Bondowoso</v>
      </c>
      <c r="I14" s="17">
        <f>Sheet1!I13</f>
        <v>39078</v>
      </c>
      <c r="J14" s="14" t="str">
        <f>Sheet1!J13</f>
        <v>A 03</v>
      </c>
      <c r="K14" s="16" t="str">
        <f>Sheet1!K13</f>
        <v>Randu Cangkring 005/001 Randu Cangkring Pujer Bondowoso</v>
      </c>
      <c r="L14" s="16" t="str">
        <f>Sheet1!L13</f>
        <v>Ahmad Riyanto</v>
      </c>
      <c r="M14" s="16" t="str">
        <f>Sheet1!M13</f>
        <v>Siti Maryam</v>
      </c>
      <c r="N14" s="16" t="str">
        <f ca="1">Sheet1!N13</f>
        <v>17 Tahun, 11 Bulan, 24 Hari</v>
      </c>
      <c r="O14" s="16"/>
      <c r="P14" s="16"/>
    </row>
    <row r="15" spans="1:16" ht="18" hidden="1" customHeight="1" x14ac:dyDescent="0.25">
      <c r="A15" s="13">
        <f>Sheet1!A14</f>
        <v>13</v>
      </c>
      <c r="B15" s="14">
        <v>12</v>
      </c>
      <c r="C15" s="16" t="str">
        <f>Sheet1!C14</f>
        <v>2 SMA</v>
      </c>
      <c r="D15" s="14" t="str">
        <f>Sheet1!D14</f>
        <v>3A</v>
      </c>
      <c r="E15" s="14" t="str">
        <f>Sheet1!E14</f>
        <v>Wustha</v>
      </c>
      <c r="F15" s="16">
        <f>Sheet1!F14</f>
        <v>2746</v>
      </c>
      <c r="G15" s="16" t="str">
        <f>Sheet1!G14</f>
        <v>Yazid Fauzan</v>
      </c>
      <c r="H15" s="15" t="str">
        <f>Sheet1!H14</f>
        <v>Bondowoso</v>
      </c>
      <c r="I15" s="17">
        <f>Sheet1!I14</f>
        <v>39323</v>
      </c>
      <c r="J15" s="14" t="str">
        <f>Sheet1!J14</f>
        <v>A 03</v>
      </c>
      <c r="K15" s="16" t="str">
        <f>Sheet1!K14</f>
        <v>Maskuning Wetan-Pujer-Bondowoso</v>
      </c>
      <c r="L15" s="16" t="str">
        <f>Sheet1!L14</f>
        <v>M. Yasin</v>
      </c>
      <c r="M15" s="16" t="str">
        <f>Sheet1!M14</f>
        <v>Sutiana</v>
      </c>
      <c r="N15" s="16" t="str">
        <f ca="1">Sheet1!N14</f>
        <v>17 Tahun, 3 Bulan, 22 Hari</v>
      </c>
      <c r="O15" s="16"/>
      <c r="P15" s="16"/>
    </row>
    <row r="16" spans="1:16" ht="18" hidden="1" customHeight="1" x14ac:dyDescent="0.25">
      <c r="A16" s="13">
        <f>Sheet1!A15</f>
        <v>14</v>
      </c>
      <c r="B16" s="14">
        <v>13</v>
      </c>
      <c r="C16" s="16" t="str">
        <f>Sheet1!C15</f>
        <v>3 SMA</v>
      </c>
      <c r="D16" s="14" t="str">
        <f>Sheet1!D15</f>
        <v>3A</v>
      </c>
      <c r="E16" s="14" t="str">
        <f>Sheet1!E15</f>
        <v>Wustha</v>
      </c>
      <c r="F16" s="16">
        <f>Sheet1!F15</f>
        <v>3492</v>
      </c>
      <c r="G16" s="16" t="str">
        <f>Sheet1!G15</f>
        <v>Adit Aldian</v>
      </c>
      <c r="H16" s="15" t="str">
        <f>Sheet1!H15</f>
        <v>Bondowoso</v>
      </c>
      <c r="I16" s="17" t="str">
        <f>Sheet1!I15</f>
        <v>12 Juli 2007</v>
      </c>
      <c r="J16" s="14" t="str">
        <f>Sheet1!J15</f>
        <v>A 03</v>
      </c>
      <c r="K16" s="16" t="str">
        <f>Sheet1!K15</f>
        <v>Jebung Kidul Tlogosari-Bondowoso</v>
      </c>
      <c r="L16" s="16" t="str">
        <f>Sheet1!L15</f>
        <v>Baihaki</v>
      </c>
      <c r="M16" s="16">
        <f>Sheet1!M15</f>
        <v>0</v>
      </c>
      <c r="N16" s="16" t="str">
        <f ca="1">Sheet1!N15</f>
        <v>17 Tahun, 5 Bulan, 9 Hari</v>
      </c>
      <c r="O16" s="16"/>
      <c r="P16" s="16"/>
    </row>
    <row r="17" spans="1:16" ht="18" hidden="1" customHeight="1" x14ac:dyDescent="0.25">
      <c r="A17" s="13">
        <f>Sheet1!A16</f>
        <v>15</v>
      </c>
      <c r="B17" s="14">
        <v>14</v>
      </c>
      <c r="C17" s="16">
        <f>Sheet1!C16</f>
        <v>0</v>
      </c>
      <c r="D17" s="14" t="str">
        <f>Sheet1!D16</f>
        <v>2A</v>
      </c>
      <c r="E17" s="14" t="str">
        <f>Sheet1!E16</f>
        <v>Ulya</v>
      </c>
      <c r="F17" s="16">
        <f>Sheet1!F16</f>
        <v>1580</v>
      </c>
      <c r="G17" s="16" t="str">
        <f>Sheet1!G16</f>
        <v>Muhammad Ikbal</v>
      </c>
      <c r="H17" s="15" t="str">
        <f>Sheet1!H16</f>
        <v>Bondowoso</v>
      </c>
      <c r="I17" s="17" t="str">
        <f>Sheet1!I16</f>
        <v>26 Mei 2007</v>
      </c>
      <c r="J17" s="14" t="str">
        <f>Sheet1!J16</f>
        <v>A 04</v>
      </c>
      <c r="K17" s="16" t="str">
        <f>Sheet1!K16</f>
        <v>Patemon, Rt 008/Rw 002, , Kec.Tlogosari, Kab.Bondowoso</v>
      </c>
      <c r="L17" s="16" t="str">
        <f>Sheet1!L16</f>
        <v>Holliq</v>
      </c>
      <c r="M17" s="16" t="str">
        <f>Sheet1!M16</f>
        <v>Suhaima</v>
      </c>
      <c r="N17" s="16" t="str">
        <f ca="1">Sheet1!N16</f>
        <v>17 Tahun, 6 Bulan, 25 Hari</v>
      </c>
      <c r="O17" s="16"/>
      <c r="P17" s="16"/>
    </row>
    <row r="18" spans="1:16" ht="18" hidden="1" customHeight="1" x14ac:dyDescent="0.25">
      <c r="A18" s="13">
        <f>Sheet1!A17</f>
        <v>16</v>
      </c>
      <c r="B18" s="14">
        <v>15</v>
      </c>
      <c r="C18" s="16">
        <f>Sheet1!C17</f>
        <v>0</v>
      </c>
      <c r="D18" s="14" t="str">
        <f>Sheet1!D17</f>
        <v>3B</v>
      </c>
      <c r="E18" s="14" t="str">
        <f>Sheet1!E17</f>
        <v>Wustha</v>
      </c>
      <c r="F18" s="16">
        <f>Sheet1!F17</f>
        <v>3183</v>
      </c>
      <c r="G18" s="16" t="str">
        <f>Sheet1!G17</f>
        <v>Abrian Maulana</v>
      </c>
      <c r="H18" s="15" t="str">
        <f>Sheet1!H17</f>
        <v>Bondowoso</v>
      </c>
      <c r="I18" s="17">
        <f>Sheet1!I17</f>
        <v>38995</v>
      </c>
      <c r="J18" s="14" t="str">
        <f>Sheet1!J17</f>
        <v>A 04</v>
      </c>
      <c r="K18" s="16" t="str">
        <f>Sheet1!K17</f>
        <v>Patemon-Tlogosari-Bondowoso</v>
      </c>
      <c r="L18" s="16" t="str">
        <f>Sheet1!L17</f>
        <v>Karyadi</v>
      </c>
      <c r="M18" s="16">
        <f>Sheet1!M17</f>
        <v>0</v>
      </c>
      <c r="N18" s="16" t="str">
        <f ca="1">Sheet1!N17</f>
        <v>18 Tahun, 2 Bulan, 16 Hari</v>
      </c>
      <c r="O18" s="16"/>
      <c r="P18" s="16"/>
    </row>
    <row r="19" spans="1:16" ht="18" hidden="1" customHeight="1" x14ac:dyDescent="0.25">
      <c r="A19" s="13">
        <f>Sheet1!A18</f>
        <v>17</v>
      </c>
      <c r="B19" s="14">
        <v>16</v>
      </c>
      <c r="C19" s="16">
        <f>Sheet1!C18</f>
        <v>0</v>
      </c>
      <c r="D19" s="14" t="str">
        <f>Sheet1!D18</f>
        <v>2A</v>
      </c>
      <c r="E19" s="14" t="str">
        <f>Sheet1!E18</f>
        <v>Ulya</v>
      </c>
      <c r="F19" s="16">
        <f>Sheet1!F18</f>
        <v>1577</v>
      </c>
      <c r="G19" s="16" t="str">
        <f>Sheet1!G18</f>
        <v>Muhammad hamdani Salim</v>
      </c>
      <c r="H19" s="15" t="str">
        <f>Sheet1!H18</f>
        <v>Bondowoso</v>
      </c>
      <c r="I19" s="17" t="str">
        <f>Sheet1!I18</f>
        <v>11 September 2003</v>
      </c>
      <c r="J19" s="14" t="str">
        <f>Sheet1!J18</f>
        <v>A 05</v>
      </c>
      <c r="K19" s="16" t="str">
        <f>Sheet1!K18</f>
        <v>Dusun Karang timur, Rt 020/Rw 005, Desa Sumber Kemuning, Kec. Tamanan, kab. Bondowoso</v>
      </c>
      <c r="L19" s="16" t="str">
        <f>Sheet1!L18</f>
        <v>Mudarib</v>
      </c>
      <c r="M19" s="16" t="str">
        <f>Sheet1!M18</f>
        <v>Rmmanah</v>
      </c>
      <c r="N19" s="16" t="str">
        <f ca="1">Sheet1!N18</f>
        <v>21 Tahun, 3 Bulan, 10 Hari</v>
      </c>
      <c r="O19" s="16"/>
      <c r="P19" s="16"/>
    </row>
    <row r="20" spans="1:16" ht="18" hidden="1" customHeight="1" x14ac:dyDescent="0.25">
      <c r="A20" s="13">
        <f>Sheet1!A19</f>
        <v>18</v>
      </c>
      <c r="B20" s="14">
        <v>17</v>
      </c>
      <c r="C20" s="16">
        <f>Sheet1!C19</f>
        <v>0</v>
      </c>
      <c r="D20" s="14">
        <f>Sheet1!D19</f>
        <v>1</v>
      </c>
      <c r="E20" s="14" t="str">
        <f>Sheet1!E19</f>
        <v>Ulya</v>
      </c>
      <c r="F20" s="16">
        <f>Sheet1!F19</f>
        <v>2454</v>
      </c>
      <c r="G20" s="16" t="str">
        <f>Sheet1!G19</f>
        <v>Ahmad Taufikur Rahman</v>
      </c>
      <c r="H20" s="15" t="str">
        <f>Sheet1!H19</f>
        <v>Bondowoso</v>
      </c>
      <c r="I20" s="17" t="str">
        <f>Sheet1!I19</f>
        <v>09 Des 2006</v>
      </c>
      <c r="J20" s="14" t="str">
        <f>Sheet1!J19</f>
        <v>A 06</v>
      </c>
      <c r="K20" s="16" t="str">
        <f>Sheet1!K19</f>
        <v>Alassumur Pujer Bondowoso</v>
      </c>
      <c r="L20" s="16">
        <f>Sheet1!L19</f>
        <v>0</v>
      </c>
      <c r="M20" s="16">
        <f>Sheet1!M19</f>
        <v>0</v>
      </c>
      <c r="N20" s="16" t="str">
        <f ca="1">Sheet1!N19</f>
        <v>18 Tahun, 0 Bulan, 12 Hari</v>
      </c>
      <c r="O20" s="16"/>
      <c r="P20" s="16"/>
    </row>
    <row r="21" spans="1:16" ht="18" hidden="1" customHeight="1" x14ac:dyDescent="0.25">
      <c r="A21" s="13">
        <f>Sheet1!A20</f>
        <v>19</v>
      </c>
      <c r="B21" s="14">
        <v>18</v>
      </c>
      <c r="C21" s="16">
        <f>Sheet1!C20</f>
        <v>0</v>
      </c>
      <c r="D21" s="14" t="str">
        <f>Sheet1!D20</f>
        <v>2A</v>
      </c>
      <c r="E21" s="14" t="str">
        <f>Sheet1!E20</f>
        <v>Ulya</v>
      </c>
      <c r="F21" s="16">
        <f>Sheet1!F20</f>
        <v>1565</v>
      </c>
      <c r="G21" s="16" t="str">
        <f>Sheet1!G20</f>
        <v>Mohammad Prianto</v>
      </c>
      <c r="H21" s="15" t="str">
        <f>Sheet1!H20</f>
        <v>Bondowoso</v>
      </c>
      <c r="I21" s="17" t="str">
        <f>Sheet1!I20</f>
        <v>19 Juli 2007</v>
      </c>
      <c r="J21" s="14" t="str">
        <f>Sheet1!J20</f>
        <v>A 06</v>
      </c>
      <c r="K21" s="16" t="str">
        <f>Sheet1!K20</f>
        <v>Dusun Krajan, Rt 001/ Rw, , 001Kec.Jambesari Darus Sholah, Kab.Bondowoso</v>
      </c>
      <c r="L21" s="16" t="str">
        <f>Sheet1!L20</f>
        <v>Alm. Justo</v>
      </c>
      <c r="M21" s="16" t="str">
        <f>Sheet1!M20</f>
        <v xml:space="preserve">Muryani </v>
      </c>
      <c r="N21" s="16" t="str">
        <f ca="1">Sheet1!N20</f>
        <v>17 Tahun, 5 Bulan, 2 Hari</v>
      </c>
      <c r="O21" s="16"/>
      <c r="P21" s="16"/>
    </row>
    <row r="22" spans="1:16" ht="18" hidden="1" customHeight="1" x14ac:dyDescent="0.25">
      <c r="A22" s="13">
        <f>Sheet1!A21</f>
        <v>20</v>
      </c>
      <c r="B22" s="14">
        <v>19</v>
      </c>
      <c r="C22" s="16">
        <f>Sheet1!C21</f>
        <v>0</v>
      </c>
      <c r="D22" s="14">
        <f>Sheet1!D21</f>
        <v>1</v>
      </c>
      <c r="E22" s="14" t="str">
        <f>Sheet1!E21</f>
        <v>Ulya</v>
      </c>
      <c r="F22" s="16">
        <f>Sheet1!F21</f>
        <v>2515</v>
      </c>
      <c r="G22" s="16" t="str">
        <f>Sheet1!G21</f>
        <v>Fikri</v>
      </c>
      <c r="H22" s="15" t="str">
        <f>Sheet1!H21</f>
        <v>Bondowoso</v>
      </c>
      <c r="I22" s="17" t="str">
        <f>Sheet1!I21</f>
        <v>11 November 2006</v>
      </c>
      <c r="J22" s="14" t="str">
        <f>Sheet1!J21</f>
        <v>A 06</v>
      </c>
      <c r="K22" s="16" t="str">
        <f>Sheet1!K21</f>
        <v>sumber kemuning-tamanan-bondowoso</v>
      </c>
      <c r="L22" s="16" t="str">
        <f>Sheet1!L21</f>
        <v>Hasiful Waton</v>
      </c>
      <c r="M22" s="16" t="str">
        <f>Sheet1!M21</f>
        <v>Farida</v>
      </c>
      <c r="N22" s="16" t="str">
        <f ca="1">Sheet1!N21</f>
        <v>18 Tahun, 1 Bulan, 10 Hari</v>
      </c>
      <c r="O22" s="16"/>
      <c r="P22" s="16"/>
    </row>
    <row r="23" spans="1:16" ht="18" hidden="1" customHeight="1" x14ac:dyDescent="0.25">
      <c r="A23" s="13">
        <f>Sheet1!A22</f>
        <v>21</v>
      </c>
      <c r="B23" s="14">
        <v>20</v>
      </c>
      <c r="C23" s="16">
        <f>Sheet1!C22</f>
        <v>0</v>
      </c>
      <c r="D23" s="14">
        <f>Sheet1!D22</f>
        <v>1</v>
      </c>
      <c r="E23" s="14" t="str">
        <f>Sheet1!E22</f>
        <v>Ulya</v>
      </c>
      <c r="F23" s="16">
        <f>Sheet1!F22</f>
        <v>2430</v>
      </c>
      <c r="G23" s="16" t="str">
        <f>Sheet1!G22</f>
        <v>Sikri</v>
      </c>
      <c r="H23" s="15" t="str">
        <f>Sheet1!H22</f>
        <v>Bondowoso</v>
      </c>
      <c r="I23" s="17" t="str">
        <f>Sheet1!I22</f>
        <v>11 Nov 2006</v>
      </c>
      <c r="J23" s="14" t="str">
        <f>Sheet1!J22</f>
        <v>A 06</v>
      </c>
      <c r="K23" s="16" t="str">
        <f>Sheet1!K22</f>
        <v>Sbr Kemuning</v>
      </c>
      <c r="L23" s="16" t="str">
        <f>Sheet1!L22</f>
        <v>Ahmad Romli</v>
      </c>
      <c r="M23" s="16" t="str">
        <f>Sheet1!M22</f>
        <v>Lutfiah</v>
      </c>
      <c r="N23" s="16" t="str">
        <f ca="1">Sheet1!N22</f>
        <v>18 Tahun, 1 Bulan, 10 Hari</v>
      </c>
      <c r="O23" s="16"/>
      <c r="P23" s="16"/>
    </row>
    <row r="24" spans="1:16" ht="18" hidden="1" customHeight="1" x14ac:dyDescent="0.25">
      <c r="A24" s="13">
        <f>Sheet1!A23</f>
        <v>22</v>
      </c>
      <c r="B24" s="14">
        <v>21</v>
      </c>
      <c r="C24" s="16">
        <f>Sheet1!C23</f>
        <v>0</v>
      </c>
      <c r="D24" s="14" t="str">
        <f>Sheet1!D23</f>
        <v>2B</v>
      </c>
      <c r="E24" s="14" t="str">
        <f>Sheet1!E23</f>
        <v>Ulya</v>
      </c>
      <c r="F24" s="16">
        <f>Sheet1!F23</f>
        <v>1562</v>
      </c>
      <c r="G24" s="16" t="str">
        <f>Sheet1!G23</f>
        <v>Mohammad Agil</v>
      </c>
      <c r="H24" s="15" t="str">
        <f>Sheet1!H23</f>
        <v>Bondowoso</v>
      </c>
      <c r="I24" s="17" t="str">
        <f>Sheet1!I23</f>
        <v>10 Maret 2006</v>
      </c>
      <c r="J24" s="14" t="str">
        <f>Sheet1!J23</f>
        <v>A 06</v>
      </c>
      <c r="K24" s="16" t="str">
        <f>Sheet1!K23</f>
        <v>Sumber Jeruk, Rt 014/ Rw 003, , kec.Jambesari Ds, Kab.Bondowoso</v>
      </c>
      <c r="L24" s="16" t="str">
        <f>Sheet1!L23</f>
        <v>Nurul Huda</v>
      </c>
      <c r="M24" s="16" t="str">
        <f>Sheet1!M23</f>
        <v>Sitti Royani</v>
      </c>
      <c r="N24" s="16" t="str">
        <f ca="1">Sheet1!N23</f>
        <v>18 Tahun, 9 Bulan, 11 Hari</v>
      </c>
      <c r="O24" s="16"/>
      <c r="P24" s="16"/>
    </row>
    <row r="25" spans="1:16" ht="18" hidden="1" customHeight="1" x14ac:dyDescent="0.25">
      <c r="A25" s="13">
        <f>Sheet1!A24</f>
        <v>23</v>
      </c>
      <c r="B25" s="14">
        <v>22</v>
      </c>
      <c r="C25" s="16">
        <f>Sheet1!C24</f>
        <v>0</v>
      </c>
      <c r="D25" s="14" t="str">
        <f>Sheet1!D24</f>
        <v>2B</v>
      </c>
      <c r="E25" s="14" t="str">
        <f>Sheet1!E24</f>
        <v>Ulya</v>
      </c>
      <c r="F25" s="16">
        <f>Sheet1!F24</f>
        <v>1550</v>
      </c>
      <c r="G25" s="16" t="str">
        <f>Sheet1!G24</f>
        <v>Iqrom</v>
      </c>
      <c r="H25" s="15" t="str">
        <f>Sheet1!H24</f>
        <v>Bondowoso</v>
      </c>
      <c r="I25" s="17" t="str">
        <f>Sheet1!I24</f>
        <v>04 Januari 2001</v>
      </c>
      <c r="J25" s="14" t="str">
        <f>Sheet1!J24</f>
        <v>A 06</v>
      </c>
      <c r="K25" s="16" t="str">
        <f>Sheet1!K24</f>
        <v>Dusun Krajan, Rt 009/Rw 002, Pengarang, Kec.Jambesari Darus Sholah, Kab.Bondowoso</v>
      </c>
      <c r="L25" s="16" t="str">
        <f>Sheet1!L24</f>
        <v>Agung Yuliantoro Effendi</v>
      </c>
      <c r="M25" s="16" t="str">
        <f>Sheet1!M24</f>
        <v>Iin Mudma Indayati</v>
      </c>
      <c r="N25" s="16" t="str">
        <f ca="1">Sheet1!N24</f>
        <v>23 Tahun, 11 Bulan, 17 Hari</v>
      </c>
      <c r="O25" s="16"/>
      <c r="P25" s="16"/>
    </row>
    <row r="26" spans="1:16" ht="18" hidden="1" customHeight="1" x14ac:dyDescent="0.25">
      <c r="A26" s="13">
        <f>Sheet1!A33</f>
        <v>32</v>
      </c>
      <c r="B26" s="14">
        <v>23</v>
      </c>
      <c r="C26" s="16">
        <f>Sheet1!C33</f>
        <v>0</v>
      </c>
      <c r="D26" s="14" t="str">
        <f>Sheet1!D33</f>
        <v>2A</v>
      </c>
      <c r="E26" s="14" t="str">
        <f>Sheet1!E33</f>
        <v>Ulya</v>
      </c>
      <c r="F26" s="16">
        <f>Sheet1!F33</f>
        <v>1590</v>
      </c>
      <c r="G26" s="16" t="str">
        <f>Sheet1!G33</f>
        <v>Muhammad Nafil</v>
      </c>
      <c r="H26" s="15">
        <f>Sheet1!H33</f>
        <v>0</v>
      </c>
      <c r="I26" s="17">
        <f>Sheet1!I33</f>
        <v>0</v>
      </c>
      <c r="J26" s="14" t="str">
        <f>Sheet1!J33</f>
        <v>A 08</v>
      </c>
      <c r="K26" s="16" t="str">
        <f>Sheet1!K33</f>
        <v xml:space="preserve">, , , , </v>
      </c>
      <c r="L26" s="16">
        <f>Sheet1!L33</f>
        <v>0</v>
      </c>
      <c r="M26" s="16">
        <f>Sheet1!M33</f>
        <v>0</v>
      </c>
      <c r="N26" s="16" t="str">
        <f ca="1">Sheet1!N33</f>
        <v>124 Tahun, 11 Bulan, 21 Hari</v>
      </c>
      <c r="O26" s="16"/>
      <c r="P26" s="16"/>
    </row>
    <row r="27" spans="1:16" ht="18" hidden="1" customHeight="1" x14ac:dyDescent="0.25">
      <c r="A27" s="13">
        <f>Sheet1!A34</f>
        <v>33</v>
      </c>
      <c r="B27" s="14">
        <v>24</v>
      </c>
      <c r="C27" s="16">
        <f>Sheet1!C34</f>
        <v>0</v>
      </c>
      <c r="D27" s="14" t="str">
        <f>Sheet1!D34</f>
        <v>2A</v>
      </c>
      <c r="E27" s="14" t="str">
        <f>Sheet1!E34</f>
        <v>Ulya</v>
      </c>
      <c r="F27" s="16">
        <f>Sheet1!F34</f>
        <v>1594</v>
      </c>
      <c r="G27" s="16" t="str">
        <f>Sheet1!G34</f>
        <v>Muhammad Royhan</v>
      </c>
      <c r="H27" s="15" t="str">
        <f>Sheet1!H34</f>
        <v>Bondowoso</v>
      </c>
      <c r="I27" s="17" t="str">
        <f>Sheet1!I34</f>
        <v>26 Oktober 2005</v>
      </c>
      <c r="J27" s="14" t="str">
        <f>Sheet1!J34</f>
        <v>A 08</v>
      </c>
      <c r="K27" s="16" t="str">
        <f>Sheet1!K34</f>
        <v>Dusun Tengginah, Rt 011/Rw 003, Desa Sumber Jeruk, Kec.Jambesari DS, Kab. Bondowoso</v>
      </c>
      <c r="L27" s="16" t="str">
        <f>Sheet1!L34</f>
        <v>Muhammad Idris</v>
      </c>
      <c r="M27" s="16" t="str">
        <f>Sheet1!M34</f>
        <v>Haryati</v>
      </c>
      <c r="N27" s="16" t="str">
        <f ca="1">Sheet1!N34</f>
        <v>19 Tahun, 1 Bulan, 25 Hari</v>
      </c>
      <c r="O27" s="16"/>
      <c r="P27" s="16"/>
    </row>
    <row r="28" spans="1:16" ht="18" hidden="1" customHeight="1" x14ac:dyDescent="0.25">
      <c r="A28" s="13">
        <f>Sheet1!A35</f>
        <v>34</v>
      </c>
      <c r="B28" s="14">
        <v>25</v>
      </c>
      <c r="C28" s="16">
        <f>Sheet1!C35</f>
        <v>0</v>
      </c>
      <c r="D28" s="14" t="str">
        <f>Sheet1!D35</f>
        <v>2A</v>
      </c>
      <c r="E28" s="14" t="str">
        <f>Sheet1!E35</f>
        <v>Ulya</v>
      </c>
      <c r="F28" s="16">
        <f>Sheet1!F35</f>
        <v>1552</v>
      </c>
      <c r="G28" s="16" t="str">
        <f>Sheet1!G35</f>
        <v>Kamilul Iman</v>
      </c>
      <c r="H28" s="15" t="str">
        <f>Sheet1!H35</f>
        <v>Bondowoso</v>
      </c>
      <c r="I28" s="17" t="str">
        <f>Sheet1!I35</f>
        <v>17 April 2005</v>
      </c>
      <c r="J28" s="14" t="str">
        <f>Sheet1!J35</f>
        <v>A 08</v>
      </c>
      <c r="K28" s="16" t="str">
        <f>Sheet1!K35</f>
        <v>Dusun Krajan, Rt 008/ Rw 002, Sumber Jeruk, Kec.Jambesari DS, Kab.Bondowoso</v>
      </c>
      <c r="L28" s="16" t="str">
        <f>Sheet1!L35</f>
        <v>Hosnan</v>
      </c>
      <c r="M28" s="16" t="str">
        <f>Sheet1!M35</f>
        <v>Sumina</v>
      </c>
      <c r="N28" s="16" t="str">
        <f ca="1">Sheet1!N35</f>
        <v>19 Tahun, 8 Bulan, 4 Hari</v>
      </c>
      <c r="O28" s="16"/>
      <c r="P28" s="16"/>
    </row>
    <row r="29" spans="1:16" ht="18" hidden="1" customHeight="1" x14ac:dyDescent="0.25">
      <c r="A29" s="13">
        <f>Sheet1!A36</f>
        <v>35</v>
      </c>
      <c r="B29" s="14">
        <v>26</v>
      </c>
      <c r="C29" s="16">
        <f>Sheet1!C36</f>
        <v>0</v>
      </c>
      <c r="D29" s="14">
        <f>Sheet1!D36</f>
        <v>1</v>
      </c>
      <c r="E29" s="14" t="str">
        <f>Sheet1!E36</f>
        <v>Ulya</v>
      </c>
      <c r="F29" s="16">
        <f>Sheet1!F36</f>
        <v>2912</v>
      </c>
      <c r="G29" s="16" t="str">
        <f>Sheet1!G36</f>
        <v>Moh. Sufi</v>
      </c>
      <c r="H29" s="15" t="str">
        <f>Sheet1!H36</f>
        <v>Jember</v>
      </c>
      <c r="I29" s="17">
        <f>Sheet1!I36</f>
        <v>38770</v>
      </c>
      <c r="J29" s="14" t="str">
        <f>Sheet1!J36</f>
        <v>A 08</v>
      </c>
      <c r="K29" s="16" t="str">
        <f>Sheet1!K36</f>
        <v>Pringgondani-Sumber Jambe-Jember</v>
      </c>
      <c r="L29" s="16" t="str">
        <f>Sheet1!L36</f>
        <v>Buardi</v>
      </c>
      <c r="M29" s="16" t="str">
        <f>Sheet1!M36</f>
        <v>Wakini</v>
      </c>
      <c r="N29" s="16" t="str">
        <f ca="1">Sheet1!N36</f>
        <v>18 Tahun, 9 Bulan, 29 Hari</v>
      </c>
      <c r="O29" s="16"/>
      <c r="P29" s="16"/>
    </row>
    <row r="30" spans="1:16" ht="18" hidden="1" customHeight="1" x14ac:dyDescent="0.25">
      <c r="A30" s="13">
        <f>Sheet1!A37</f>
        <v>36</v>
      </c>
      <c r="B30" s="14">
        <v>27</v>
      </c>
      <c r="C30" s="16">
        <f>Sheet1!C37</f>
        <v>0</v>
      </c>
      <c r="D30" s="14" t="str">
        <f>Sheet1!D37</f>
        <v>3B</v>
      </c>
      <c r="E30" s="14" t="str">
        <f>Sheet1!E37</f>
        <v>Wustha</v>
      </c>
      <c r="F30" s="16">
        <f>Sheet1!F37</f>
        <v>3180</v>
      </c>
      <c r="G30" s="16" t="str">
        <f>Sheet1!G37</f>
        <v>Junaidi</v>
      </c>
      <c r="H30" s="15" t="str">
        <f>Sheet1!H37</f>
        <v>Bondowoso</v>
      </c>
      <c r="I30" s="17">
        <f>Sheet1!I37</f>
        <v>39188</v>
      </c>
      <c r="J30" s="14" t="str">
        <f>Sheet1!J37</f>
        <v>A 08</v>
      </c>
      <c r="K30" s="16" t="str">
        <f>Sheet1!K37</f>
        <v>Sumber Jeruk-Jambesari Darus Sholah-Bondowoso</v>
      </c>
      <c r="L30" s="16" t="str">
        <f>Sheet1!L37</f>
        <v>Muhammad Surijas</v>
      </c>
      <c r="M30" s="16" t="str">
        <f>Sheet1!M37</f>
        <v>Lilis Susilowati</v>
      </c>
      <c r="N30" s="16" t="str">
        <f ca="1">Sheet1!N37</f>
        <v>17 Tahun, 8 Bulan, 5 Hari</v>
      </c>
      <c r="O30" s="16"/>
      <c r="P30" s="16"/>
    </row>
    <row r="31" spans="1:16" ht="18" hidden="1" customHeight="1" x14ac:dyDescent="0.25">
      <c r="A31" s="13">
        <f>Sheet1!A38</f>
        <v>37</v>
      </c>
      <c r="B31" s="14">
        <v>28</v>
      </c>
      <c r="C31" s="16" t="str">
        <f>Sheet1!C38</f>
        <v>2 SMA</v>
      </c>
      <c r="D31" s="14" t="str">
        <f>Sheet1!D38</f>
        <v>1E</v>
      </c>
      <c r="E31" s="14" t="str">
        <f>Sheet1!E38</f>
        <v>Wustha</v>
      </c>
      <c r="F31" s="16">
        <f>Sheet1!F38</f>
        <v>3747</v>
      </c>
      <c r="G31" s="16" t="str">
        <f>Sheet1!G38</f>
        <v>Samsul Arifin</v>
      </c>
      <c r="H31" s="15" t="str">
        <f>Sheet1!H38</f>
        <v>Bondowoso</v>
      </c>
      <c r="I31" s="17" t="str">
        <f>Sheet1!I38</f>
        <v>23 maret 2007</v>
      </c>
      <c r="J31" s="14" t="str">
        <f>Sheet1!J38</f>
        <v>A 08</v>
      </c>
      <c r="K31" s="16" t="str">
        <f>Sheet1!K38</f>
        <v>dusun krajan 09/02 sumber jeruk-jambesari darus sholah-bondowoso</v>
      </c>
      <c r="L31" s="16" t="str">
        <f>Sheet1!L38</f>
        <v>Djamal</v>
      </c>
      <c r="M31" s="16" t="str">
        <f>Sheet1!M38</f>
        <v>Hosnul Khotimah</v>
      </c>
      <c r="N31" s="16" t="str">
        <f ca="1">Sheet1!N38</f>
        <v>17 Tahun, 8 Bulan, 28 Hari</v>
      </c>
      <c r="O31" s="16"/>
      <c r="P31" s="16"/>
    </row>
    <row r="32" spans="1:16" ht="18" hidden="1" customHeight="1" x14ac:dyDescent="0.25">
      <c r="A32" s="13">
        <f>Sheet1!A39</f>
        <v>38</v>
      </c>
      <c r="B32" s="14">
        <v>29</v>
      </c>
      <c r="C32" s="16">
        <f>Sheet1!C39</f>
        <v>0</v>
      </c>
      <c r="D32" s="14" t="str">
        <f>Sheet1!D39</f>
        <v>3B</v>
      </c>
      <c r="E32" s="14" t="str">
        <f>Sheet1!E39</f>
        <v>Wustha</v>
      </c>
      <c r="F32" s="16">
        <f>Sheet1!F39</f>
        <v>3178</v>
      </c>
      <c r="G32" s="16" t="str">
        <f>Sheet1!G39</f>
        <v>Muhammad Mauroby</v>
      </c>
      <c r="H32" s="15" t="str">
        <f>Sheet1!H39</f>
        <v>Bondowoso</v>
      </c>
      <c r="I32" s="17">
        <f>Sheet1!I39</f>
        <v>39151</v>
      </c>
      <c r="J32" s="14" t="str">
        <f>Sheet1!J39</f>
        <v>A 08</v>
      </c>
      <c r="K32" s="16" t="str">
        <f>Sheet1!K39</f>
        <v>Sumberjeruk Jambesari DS Bondowoso</v>
      </c>
      <c r="L32" s="16" t="str">
        <f>Sheet1!L39</f>
        <v>Nidin</v>
      </c>
      <c r="M32" s="16" t="str">
        <f>Sheet1!M39</f>
        <v>Murtiya</v>
      </c>
      <c r="N32" s="16" t="str">
        <f ca="1">Sheet1!N39</f>
        <v>17 Tahun, 9 Bulan, 11 Hari</v>
      </c>
      <c r="O32" s="16"/>
      <c r="P32" s="16"/>
    </row>
    <row r="33" spans="1:16" ht="18" hidden="1" customHeight="1" x14ac:dyDescent="0.25">
      <c r="A33" s="13">
        <f>Sheet1!A40</f>
        <v>39</v>
      </c>
      <c r="B33" s="14">
        <v>30</v>
      </c>
      <c r="C33" s="16" t="str">
        <f>Sheet1!C40</f>
        <v>3 SMA</v>
      </c>
      <c r="D33" s="14" t="str">
        <f>Sheet1!D40</f>
        <v>3D</v>
      </c>
      <c r="E33" s="14" t="str">
        <f>Sheet1!E40</f>
        <v>Wustha</v>
      </c>
      <c r="F33" s="16">
        <f>Sheet1!F40</f>
        <v>2756</v>
      </c>
      <c r="G33" s="16" t="str">
        <f>Sheet1!G40</f>
        <v>Muhammad Nofal</v>
      </c>
      <c r="H33" s="15" t="str">
        <f>Sheet1!H40</f>
        <v>Bondowoso</v>
      </c>
      <c r="I33" s="17" t="str">
        <f>Sheet1!I40</f>
        <v>14 Agustus 2006</v>
      </c>
      <c r="J33" s="14" t="str">
        <f>Sheet1!J40</f>
        <v>A 08</v>
      </c>
      <c r="K33" s="16" t="str">
        <f>Sheet1!K40</f>
        <v>Mengok-Pujer-Bondowoso</v>
      </c>
      <c r="L33" s="16" t="str">
        <f>Sheet1!L40</f>
        <v>Hosnan</v>
      </c>
      <c r="M33" s="16" t="str">
        <f>Sheet1!M40</f>
        <v xml:space="preserve">Sulas  </v>
      </c>
      <c r="N33" s="16" t="str">
        <f ca="1">Sheet1!N40</f>
        <v>18 Tahun, 4 Bulan, 7 Hari</v>
      </c>
      <c r="O33" s="16"/>
      <c r="P33" s="16"/>
    </row>
    <row r="34" spans="1:16" ht="18" hidden="1" customHeight="1" x14ac:dyDescent="0.25">
      <c r="A34" s="13">
        <f>Sheet1!A41</f>
        <v>40</v>
      </c>
      <c r="B34" s="14">
        <v>31</v>
      </c>
      <c r="C34" s="16" t="str">
        <f>Sheet1!C41</f>
        <v>3 SMA</v>
      </c>
      <c r="D34" s="14" t="str">
        <f>Sheet1!D41</f>
        <v>3D</v>
      </c>
      <c r="E34" s="14" t="str">
        <f>Sheet1!E41</f>
        <v>Wustha</v>
      </c>
      <c r="F34" s="16">
        <f>Sheet1!F41</f>
        <v>2865</v>
      </c>
      <c r="G34" s="16" t="str">
        <f>Sheet1!G41</f>
        <v>Muhammad Afandi</v>
      </c>
      <c r="H34" s="15" t="str">
        <f>Sheet1!H41</f>
        <v>Bondowoso</v>
      </c>
      <c r="I34" s="17">
        <f>Sheet1!I41</f>
        <v>38487</v>
      </c>
      <c r="J34" s="14" t="str">
        <f>Sheet1!J41</f>
        <v>A 08</v>
      </c>
      <c r="K34" s="16" t="str">
        <f>Sheet1!K41</f>
        <v>Sumber Jeruk-Jambesari DS-Bondowoso</v>
      </c>
      <c r="L34" s="16" t="str">
        <f>Sheet1!L41</f>
        <v>M. Misto</v>
      </c>
      <c r="M34" s="16" t="str">
        <f>Sheet1!M41</f>
        <v>Muiseh</v>
      </c>
      <c r="N34" s="16" t="str">
        <f ca="1">Sheet1!N41</f>
        <v>19 Tahun, 7 Bulan, 6 Hari</v>
      </c>
      <c r="O34" s="16"/>
      <c r="P34" s="16"/>
    </row>
    <row r="35" spans="1:16" ht="18" hidden="1" customHeight="1" x14ac:dyDescent="0.25">
      <c r="A35" s="13">
        <f>Sheet1!A42</f>
        <v>41</v>
      </c>
      <c r="B35" s="14">
        <v>32</v>
      </c>
      <c r="C35" s="16">
        <f>Sheet1!C42</f>
        <v>0</v>
      </c>
      <c r="D35" s="14" t="str">
        <f>Sheet1!D42</f>
        <v>3A</v>
      </c>
      <c r="E35" s="14" t="str">
        <f>Sheet1!E42</f>
        <v>Wustha</v>
      </c>
      <c r="F35" s="16">
        <f>Sheet1!F42</f>
        <v>2873</v>
      </c>
      <c r="G35" s="16" t="str">
        <f>Sheet1!G42</f>
        <v>M. Rosi</v>
      </c>
      <c r="H35" s="15" t="str">
        <f>Sheet1!H42</f>
        <v>Bondowoso</v>
      </c>
      <c r="I35" s="17">
        <f>Sheet1!I42</f>
        <v>38160</v>
      </c>
      <c r="J35" s="14" t="str">
        <f>Sheet1!J42</f>
        <v>A 08</v>
      </c>
      <c r="K35" s="16" t="str">
        <f>Sheet1!K42</f>
        <v>Sumber Jeruk-Jambesari Ds-Bondowoso</v>
      </c>
      <c r="L35" s="16" t="str">
        <f>Sheet1!L42</f>
        <v>Sriyanto</v>
      </c>
      <c r="M35" s="16" t="str">
        <f>Sheet1!M42</f>
        <v>Subriyatul Hasanah</v>
      </c>
      <c r="N35" s="16" t="str">
        <f ca="1">Sheet1!N42</f>
        <v>20 Tahun, 5 Bulan, 29 Hari</v>
      </c>
      <c r="O35" s="16"/>
      <c r="P35" s="16"/>
    </row>
    <row r="36" spans="1:16" ht="18" hidden="1" customHeight="1" x14ac:dyDescent="0.25">
      <c r="A36" s="13">
        <f>Sheet1!A44</f>
        <v>43</v>
      </c>
      <c r="B36" s="14">
        <v>33</v>
      </c>
      <c r="C36" s="16">
        <f>Sheet1!C44</f>
        <v>0</v>
      </c>
      <c r="D36" s="14" t="str">
        <f>Sheet1!D44</f>
        <v>6C</v>
      </c>
      <c r="E36" s="14" t="str">
        <f>Sheet1!E44</f>
        <v>Ula</v>
      </c>
      <c r="F36" s="16">
        <f>Sheet1!F44</f>
        <v>3915</v>
      </c>
      <c r="G36" s="16" t="str">
        <f>Sheet1!G44</f>
        <v>Ahmad Fauzan</v>
      </c>
      <c r="H36" s="15" t="str">
        <f>Sheet1!H44</f>
        <v>Bondowoso,</v>
      </c>
      <c r="I36" s="17">
        <f>Sheet1!I44</f>
        <v>39124</v>
      </c>
      <c r="J36" s="14" t="str">
        <f>Sheet1!J44</f>
        <v>A 09</v>
      </c>
      <c r="K36" s="16" t="str">
        <f>Sheet1!K44</f>
        <v>Dsn Karang Lumbung 005/002 Tegaljati Sumber Wringin Bondowoso Jawa Timur</v>
      </c>
      <c r="L36" s="16" t="str">
        <f>Sheet1!L44</f>
        <v>Fauzi</v>
      </c>
      <c r="M36" s="16" t="str">
        <f>Sheet1!M44</f>
        <v>Wiwin</v>
      </c>
      <c r="N36" s="16" t="str">
        <f ca="1">Sheet1!N44</f>
        <v>17 Tahun, 10 Bulan, 10 Hari</v>
      </c>
      <c r="O36" s="16"/>
      <c r="P36" s="16"/>
    </row>
    <row r="37" spans="1:16" ht="18" hidden="1" customHeight="1" x14ac:dyDescent="0.25">
      <c r="A37" s="13">
        <f>Sheet1!A45</f>
        <v>44</v>
      </c>
      <c r="B37" s="14">
        <v>34</v>
      </c>
      <c r="C37" s="16">
        <f>Sheet1!C45</f>
        <v>0</v>
      </c>
      <c r="D37" s="14" t="str">
        <f>Sheet1!D45</f>
        <v>2C</v>
      </c>
      <c r="E37" s="14" t="str">
        <f>Sheet1!E45</f>
        <v>Ulya</v>
      </c>
      <c r="F37" s="16">
        <f>Sheet1!F45</f>
        <v>1547</v>
      </c>
      <c r="G37" s="16" t="str">
        <f>Sheet1!G45</f>
        <v>Ilham</v>
      </c>
      <c r="H37" s="15" t="str">
        <f>Sheet1!H45</f>
        <v>Bondowoso</v>
      </c>
      <c r="I37" s="17">
        <f>Sheet1!I45</f>
        <v>0</v>
      </c>
      <c r="J37" s="14" t="str">
        <f>Sheet1!J45</f>
        <v>A 09</v>
      </c>
      <c r="K37" s="16" t="str">
        <f>Sheet1!K45</f>
        <v>Maskuning Wetan, , , Pujer, Bondowoso</v>
      </c>
      <c r="L37" s="16" t="str">
        <f>Sheet1!L45</f>
        <v>Hafid</v>
      </c>
      <c r="M37" s="16" t="str">
        <f>Sheet1!M45</f>
        <v>Kaima</v>
      </c>
      <c r="N37" s="16" t="str">
        <f ca="1">Sheet1!N45</f>
        <v>124 Tahun, 11 Bulan, 21 Hari</v>
      </c>
      <c r="O37" s="16"/>
      <c r="P37" s="16"/>
    </row>
    <row r="38" spans="1:16" ht="18" hidden="1" customHeight="1" x14ac:dyDescent="0.25">
      <c r="A38" s="13">
        <f>Sheet1!A46</f>
        <v>45</v>
      </c>
      <c r="B38" s="14">
        <v>35</v>
      </c>
      <c r="C38" s="16" t="str">
        <f>Sheet1!C46</f>
        <v>3 SMA</v>
      </c>
      <c r="D38" s="14" t="str">
        <f>Sheet1!D46</f>
        <v>1E</v>
      </c>
      <c r="E38" s="14" t="str">
        <f>Sheet1!E46</f>
        <v>Wustha</v>
      </c>
      <c r="F38" s="16">
        <f>Sheet1!F46</f>
        <v>3337</v>
      </c>
      <c r="G38" s="16" t="str">
        <f>Sheet1!G46</f>
        <v>Muhammad Samsul Arifin</v>
      </c>
      <c r="H38" s="15" t="str">
        <f>Sheet1!H46</f>
        <v>Bondowoso</v>
      </c>
      <c r="I38" s="17">
        <f>Sheet1!I46</f>
        <v>38958</v>
      </c>
      <c r="J38" s="14" t="str">
        <f>Sheet1!J46</f>
        <v>A 09</v>
      </c>
      <c r="K38" s="16" t="str">
        <f>Sheet1!K46</f>
        <v>Kasemek 018/009 Kasemek Tenggarang Bondowoso</v>
      </c>
      <c r="L38" s="16" t="str">
        <f>Sheet1!L46</f>
        <v>Ismail</v>
      </c>
      <c r="M38" s="16" t="str">
        <f>Sheet1!M46</f>
        <v>Astija</v>
      </c>
      <c r="N38" s="16" t="str">
        <f ca="1">Sheet1!N46</f>
        <v>18 Tahun, 3 Bulan, 22 Hari</v>
      </c>
      <c r="O38" s="16"/>
      <c r="P38" s="16"/>
    </row>
    <row r="39" spans="1:16" ht="18" hidden="1" customHeight="1" x14ac:dyDescent="0.25">
      <c r="A39" s="13">
        <f>Sheet1!A47</f>
        <v>46</v>
      </c>
      <c r="B39" s="14">
        <v>36</v>
      </c>
      <c r="C39" s="16">
        <f>Sheet1!C47</f>
        <v>0</v>
      </c>
      <c r="D39" s="14" t="str">
        <f>Sheet1!D47</f>
        <v>2C</v>
      </c>
      <c r="E39" s="14" t="str">
        <f>Sheet1!E47</f>
        <v>Ulya</v>
      </c>
      <c r="F39" s="16">
        <f>Sheet1!F47</f>
        <v>1602</v>
      </c>
      <c r="G39" s="16" t="str">
        <f>Sheet1!G47</f>
        <v>Nailul Marom</v>
      </c>
      <c r="H39" s="15" t="str">
        <f>Sheet1!H47</f>
        <v>Bondowoso</v>
      </c>
      <c r="I39" s="17" t="str">
        <f>Sheet1!I47</f>
        <v>01 Januari 2007</v>
      </c>
      <c r="J39" s="14" t="str">
        <f>Sheet1!J47</f>
        <v>A 10</v>
      </c>
      <c r="K39" s="16" t="str">
        <f>Sheet1!K47</f>
        <v>Mengok, Rt 013/ Rw 004, , Kec.Pujer, Kab.Bondowoso</v>
      </c>
      <c r="L39" s="16" t="str">
        <f>Sheet1!L47</f>
        <v>Suharto</v>
      </c>
      <c r="M39" s="16" t="str">
        <f>Sheet1!M47</f>
        <v>Rukyani Mandasari</v>
      </c>
      <c r="N39" s="16" t="str">
        <f ca="1">Sheet1!N47</f>
        <v>17 Tahun, 11 Bulan, 20 Hari</v>
      </c>
      <c r="O39" s="16"/>
      <c r="P39" s="16"/>
    </row>
    <row r="40" spans="1:16" ht="18" hidden="1" customHeight="1" x14ac:dyDescent="0.25">
      <c r="A40" s="13">
        <f>Sheet1!A48</f>
        <v>47</v>
      </c>
      <c r="B40" s="14">
        <v>37</v>
      </c>
      <c r="C40" s="16">
        <f>Sheet1!C48</f>
        <v>0</v>
      </c>
      <c r="D40" s="14">
        <f>Sheet1!D48</f>
        <v>1</v>
      </c>
      <c r="E40" s="14" t="str">
        <f>Sheet1!E48</f>
        <v>Ulya</v>
      </c>
      <c r="F40" s="16">
        <f>Sheet1!F48</f>
        <v>2491</v>
      </c>
      <c r="G40" s="16" t="str">
        <f>Sheet1!G48</f>
        <v>Riski Salam</v>
      </c>
      <c r="H40" s="15" t="str">
        <f>Sheet1!H48</f>
        <v>Bondowoso</v>
      </c>
      <c r="I40" s="17">
        <f>Sheet1!I48</f>
        <v>38414</v>
      </c>
      <c r="J40" s="14" t="str">
        <f>Sheet1!J48</f>
        <v>A 10</v>
      </c>
      <c r="K40" s="16" t="str">
        <f>Sheet1!K48</f>
        <v>pekalangan-tenggarang-bondowoso</v>
      </c>
      <c r="L40" s="16" t="str">
        <f>Sheet1!L48</f>
        <v>Moh. Hosairi</v>
      </c>
      <c r="M40" s="16" t="str">
        <f>Sheet1!M48</f>
        <v>Umiyatun</v>
      </c>
      <c r="N40" s="16" t="str">
        <f ca="1">Sheet1!N48</f>
        <v>19 Tahun, 9 Bulan, 18 Hari</v>
      </c>
      <c r="O40" s="16"/>
      <c r="P40" s="16"/>
    </row>
    <row r="41" spans="1:16" ht="18" hidden="1" customHeight="1" x14ac:dyDescent="0.25">
      <c r="A41" s="13">
        <f>Sheet1!A55</f>
        <v>54</v>
      </c>
      <c r="B41" s="14">
        <v>38</v>
      </c>
      <c r="C41" s="16">
        <f>Sheet1!C55</f>
        <v>0</v>
      </c>
      <c r="D41" s="14" t="str">
        <f>Sheet1!D55</f>
        <v>2C</v>
      </c>
      <c r="E41" s="14" t="str">
        <f>Sheet1!E55</f>
        <v>Ulya</v>
      </c>
      <c r="F41" s="16">
        <f>Sheet1!F55</f>
        <v>1563</v>
      </c>
      <c r="G41" s="16" t="str">
        <f>Sheet1!G55</f>
        <v>Mohammad Agus Salim</v>
      </c>
      <c r="H41" s="15" t="str">
        <f>Sheet1!H55</f>
        <v>Bondowoso</v>
      </c>
      <c r="I41" s="17" t="str">
        <f>Sheet1!I55</f>
        <v xml:space="preserve"> Agustus</v>
      </c>
      <c r="J41" s="14" t="str">
        <f>Sheet1!J55</f>
        <v>A 11</v>
      </c>
      <c r="K41" s="16" t="str">
        <f>Sheet1!K55</f>
        <v>Dusun Karang Tengah, Rt 021/Rw 005, Jambenom, Kec.Jambesari Darus Sholah, Kab.Bondowoso</v>
      </c>
      <c r="L41" s="16" t="str">
        <f>Sheet1!L55</f>
        <v>Zaainal Arifin</v>
      </c>
      <c r="M41" s="16" t="str">
        <f>Sheet1!M55</f>
        <v>Ida Sulastri</v>
      </c>
      <c r="N41" s="16" t="e">
        <f ca="1">Sheet1!N55</f>
        <v>#VALUE!</v>
      </c>
      <c r="O41" s="16"/>
      <c r="P41" s="16"/>
    </row>
    <row r="42" spans="1:16" ht="18" hidden="1" customHeight="1" x14ac:dyDescent="0.25">
      <c r="A42" s="13">
        <f>Sheet1!A56</f>
        <v>55</v>
      </c>
      <c r="B42" s="14">
        <v>39</v>
      </c>
      <c r="C42" s="16" t="str">
        <f>Sheet1!C56</f>
        <v>3 MTS</v>
      </c>
      <c r="D42" s="14" t="str">
        <f>Sheet1!D56</f>
        <v>3A</v>
      </c>
      <c r="E42" s="14" t="str">
        <f>Sheet1!E56</f>
        <v>Wustha</v>
      </c>
      <c r="F42" s="16">
        <f>Sheet1!F56</f>
        <v>3195</v>
      </c>
      <c r="G42" s="16" t="str">
        <f>Sheet1!G56</f>
        <v>M.Mauzikni Fahmi</v>
      </c>
      <c r="H42" s="15" t="str">
        <f>Sheet1!H56</f>
        <v>Bondowoso</v>
      </c>
      <c r="I42" s="17">
        <f>Sheet1!I56</f>
        <v>0</v>
      </c>
      <c r="J42" s="14" t="str">
        <f>Sheet1!J56</f>
        <v>A 11</v>
      </c>
      <c r="K42" s="16" t="str">
        <f>Sheet1!K56</f>
        <v>Gabugan-Jambesari darus Sholah-Bondowoso</v>
      </c>
      <c r="L42" s="16" t="str">
        <f>Sheet1!L56</f>
        <v>Hermanto</v>
      </c>
      <c r="M42" s="16" t="str">
        <f>Sheet1!M56</f>
        <v>Kholifah</v>
      </c>
      <c r="N42" s="16" t="str">
        <f ca="1">Sheet1!N56</f>
        <v>124 Tahun, 11 Bulan, 21 Hari</v>
      </c>
      <c r="O42" s="16"/>
      <c r="P42" s="16"/>
    </row>
    <row r="43" spans="1:16" ht="18" hidden="1" customHeight="1" x14ac:dyDescent="0.25">
      <c r="A43" s="13">
        <f>Sheet1!A61</f>
        <v>60</v>
      </c>
      <c r="B43" s="14">
        <v>40</v>
      </c>
      <c r="C43" s="16">
        <f>Sheet1!C61</f>
        <v>0</v>
      </c>
      <c r="D43" s="14">
        <f>Sheet1!D61</f>
        <v>1</v>
      </c>
      <c r="E43" s="14" t="str">
        <f>Sheet1!E61</f>
        <v>Ulya</v>
      </c>
      <c r="F43" s="16">
        <f>Sheet1!F61</f>
        <v>2431</v>
      </c>
      <c r="G43" s="16" t="str">
        <f>Sheet1!G61</f>
        <v>Taufiqur Rahman</v>
      </c>
      <c r="H43" s="15" t="str">
        <f>Sheet1!H61</f>
        <v>Bondowoso</v>
      </c>
      <c r="I43" s="17" t="str">
        <f>Sheet1!I61</f>
        <v>06 Okt 2007</v>
      </c>
      <c r="J43" s="14" t="str">
        <f>Sheet1!J61</f>
        <v>A 13</v>
      </c>
      <c r="K43" s="16" t="str">
        <f>Sheet1!K61</f>
        <v>Angsanah</v>
      </c>
      <c r="L43" s="16" t="str">
        <f>Sheet1!L61</f>
        <v>Ismam</v>
      </c>
      <c r="M43" s="16" t="str">
        <f>Sheet1!M61</f>
        <v>Siti Aminatus S</v>
      </c>
      <c r="N43" s="16" t="str">
        <f ca="1">Sheet1!N61</f>
        <v>17 Tahun, 2 Bulan, 15 Hari</v>
      </c>
      <c r="O43" s="16"/>
      <c r="P43" s="16"/>
    </row>
    <row r="44" spans="1:16" ht="18" hidden="1" customHeight="1" x14ac:dyDescent="0.25">
      <c r="A44" s="13">
        <f>Sheet1!A62</f>
        <v>61</v>
      </c>
      <c r="B44" s="14">
        <v>41</v>
      </c>
      <c r="C44" s="16">
        <f>Sheet1!C62</f>
        <v>0</v>
      </c>
      <c r="D44" s="14">
        <f>Sheet1!D62</f>
        <v>1</v>
      </c>
      <c r="E44" s="14" t="str">
        <f>Sheet1!E62</f>
        <v>Ulya</v>
      </c>
      <c r="F44" s="16">
        <f>Sheet1!F62</f>
        <v>2517</v>
      </c>
      <c r="G44" s="16" t="str">
        <f>Sheet1!G62</f>
        <v>Hosnol Mobarok</v>
      </c>
      <c r="H44" s="15" t="str">
        <f>Sheet1!H62</f>
        <v>Bondowoso</v>
      </c>
      <c r="I44" s="17" t="str">
        <f>Sheet1!I62</f>
        <v>11 Mei 2007</v>
      </c>
      <c r="J44" s="14" t="str">
        <f>Sheet1!J62</f>
        <v>A 13</v>
      </c>
      <c r="K44" s="16" t="str">
        <f>Sheet1!K62</f>
        <v>angsanah-jambesari DS-bondowoso</v>
      </c>
      <c r="L44" s="16" t="str">
        <f>Sheet1!L62</f>
        <v>Mathari</v>
      </c>
      <c r="M44" s="16" t="str">
        <f>Sheet1!M62</f>
        <v>Halilah</v>
      </c>
      <c r="N44" s="16" t="str">
        <f ca="1">Sheet1!N62</f>
        <v>17 Tahun, 7 Bulan, 10 Hari</v>
      </c>
      <c r="O44" s="16"/>
      <c r="P44" s="16"/>
    </row>
    <row r="45" spans="1:16" ht="18" hidden="1" customHeight="1" x14ac:dyDescent="0.25">
      <c r="A45" s="13">
        <f>Sheet1!A63</f>
        <v>62</v>
      </c>
      <c r="B45" s="14">
        <v>42</v>
      </c>
      <c r="C45" s="16" t="str">
        <f>Sheet1!C63</f>
        <v>3 SMA</v>
      </c>
      <c r="D45" s="14" t="str">
        <f>Sheet1!D63</f>
        <v>3D</v>
      </c>
      <c r="E45" s="14" t="str">
        <f>Sheet1!E63</f>
        <v>Wustha</v>
      </c>
      <c r="F45" s="16">
        <f>Sheet1!F63</f>
        <v>3122</v>
      </c>
      <c r="G45" s="16" t="str">
        <f>Sheet1!G63</f>
        <v>Moh. Arif Hidayat</v>
      </c>
      <c r="H45" s="15" t="str">
        <f>Sheet1!H63</f>
        <v>Bondowoso</v>
      </c>
      <c r="I45" s="17" t="str">
        <f>Sheet1!I63</f>
        <v>14 Desember 2006</v>
      </c>
      <c r="J45" s="14" t="str">
        <f>Sheet1!J63</f>
        <v>A 13</v>
      </c>
      <c r="K45" s="16" t="str">
        <f>Sheet1!K63</f>
        <v>Maskuning Kulon-Pujer-Bondowoso</v>
      </c>
      <c r="L45" s="16" t="str">
        <f>Sheet1!L63</f>
        <v>FUAD AMI</v>
      </c>
      <c r="M45" s="16" t="str">
        <f>Sheet1!M63</f>
        <v>HAIDIFAH</v>
      </c>
      <c r="N45" s="16" t="str">
        <f ca="1">Sheet1!N63</f>
        <v>18 Tahun, 0 Bulan, 7 Hari</v>
      </c>
      <c r="O45" s="16"/>
      <c r="P45" s="16"/>
    </row>
    <row r="46" spans="1:16" ht="18" hidden="1" customHeight="1" x14ac:dyDescent="0.25">
      <c r="A46" s="13">
        <f>Sheet1!A64</f>
        <v>63</v>
      </c>
      <c r="B46" s="14">
        <v>43</v>
      </c>
      <c r="C46" s="16">
        <f>Sheet1!C64</f>
        <v>0</v>
      </c>
      <c r="D46" s="14">
        <f>Sheet1!D64</f>
        <v>1</v>
      </c>
      <c r="E46" s="14" t="str">
        <f>Sheet1!E64</f>
        <v>Ulya</v>
      </c>
      <c r="F46" s="16">
        <f>Sheet1!F64</f>
        <v>2419</v>
      </c>
      <c r="G46" s="16" t="str">
        <f>Sheet1!G64</f>
        <v>Muhammad Deni Husniyanto</v>
      </c>
      <c r="H46" s="15" t="str">
        <f>Sheet1!H64</f>
        <v>Bondowoso</v>
      </c>
      <c r="I46" s="17" t="str">
        <f>Sheet1!I64</f>
        <v>12 Maret 2007</v>
      </c>
      <c r="J46" s="14" t="str">
        <f>Sheet1!J64</f>
        <v>A 14</v>
      </c>
      <c r="K46" s="16" t="str">
        <f>Sheet1!K64</f>
        <v>Sulek-tlogosari-bondowoso</v>
      </c>
      <c r="L46" s="16" t="str">
        <f>Sheet1!L64</f>
        <v>Saruji</v>
      </c>
      <c r="M46" s="16" t="str">
        <f>Sheet1!M64</f>
        <v>Nisa</v>
      </c>
      <c r="N46" s="16" t="str">
        <f ca="1">Sheet1!N64</f>
        <v>17 Tahun, 9 Bulan, 9 Hari</v>
      </c>
      <c r="O46" s="16"/>
      <c r="P46" s="16"/>
    </row>
    <row r="47" spans="1:16" ht="18" hidden="1" customHeight="1" x14ac:dyDescent="0.25">
      <c r="A47" s="13">
        <f>Sheet1!A65</f>
        <v>64</v>
      </c>
      <c r="B47" s="14">
        <v>44</v>
      </c>
      <c r="C47" s="16">
        <f>Sheet1!C65</f>
        <v>0</v>
      </c>
      <c r="D47" s="14" t="str">
        <f>Sheet1!D65</f>
        <v>2C</v>
      </c>
      <c r="E47" s="14" t="str">
        <f>Sheet1!E65</f>
        <v>Ulya</v>
      </c>
      <c r="F47" s="16">
        <f>Sheet1!F65</f>
        <v>1573</v>
      </c>
      <c r="G47" s="16" t="str">
        <f>Sheet1!G65</f>
        <v>Muhammad Bahril Rifky</v>
      </c>
      <c r="H47" s="15" t="str">
        <f>Sheet1!H65</f>
        <v>Bondowoso</v>
      </c>
      <c r="I47" s="17" t="str">
        <f>Sheet1!I65</f>
        <v>31 Januari 2003</v>
      </c>
      <c r="J47" s="14" t="str">
        <f>Sheet1!J65</f>
        <v>A 14</v>
      </c>
      <c r="K47" s="16" t="str">
        <f>Sheet1!K65</f>
        <v>Desa Tlogosari, Rt 010/ Rw 003, , Kec.Tlogosari, Bondowoso</v>
      </c>
      <c r="L47" s="16" t="str">
        <f>Sheet1!L65</f>
        <v xml:space="preserve">Sujak </v>
      </c>
      <c r="M47" s="16" t="str">
        <f>Sheet1!M65</f>
        <v>Sa'iya</v>
      </c>
      <c r="N47" s="16" t="str">
        <f ca="1">Sheet1!N65</f>
        <v>21 Tahun, 10 Bulan, 20 Hari</v>
      </c>
      <c r="O47" s="16"/>
      <c r="P47" s="16"/>
    </row>
    <row r="48" spans="1:16" ht="18" hidden="1" customHeight="1" x14ac:dyDescent="0.25">
      <c r="A48" s="13">
        <f>Sheet1!A66</f>
        <v>65</v>
      </c>
      <c r="B48" s="14">
        <v>45</v>
      </c>
      <c r="C48" s="16">
        <f>Sheet1!C66</f>
        <v>0</v>
      </c>
      <c r="D48" s="14" t="str">
        <f>Sheet1!D66</f>
        <v>2C</v>
      </c>
      <c r="E48" s="14" t="str">
        <f>Sheet1!E66</f>
        <v>Ulya</v>
      </c>
      <c r="F48" s="16">
        <f>Sheet1!F66</f>
        <v>1532</v>
      </c>
      <c r="G48" s="16" t="str">
        <f>Sheet1!G66</f>
        <v>Ayyub</v>
      </c>
      <c r="H48" s="15" t="str">
        <f>Sheet1!H66</f>
        <v>Bondowoso</v>
      </c>
      <c r="I48" s="17" t="str">
        <f>Sheet1!I66</f>
        <v>20 April 2001</v>
      </c>
      <c r="J48" s="14" t="str">
        <f>Sheet1!J66</f>
        <v>A 14</v>
      </c>
      <c r="K48" s="16" t="str">
        <f>Sheet1!K66</f>
        <v>Sumber Balen, Rt 019/ Rw 004, Pakisan, Kec.Tlogosari, Kab.Bondowoso</v>
      </c>
      <c r="L48" s="16" t="str">
        <f>Sheet1!L66</f>
        <v>Ubaidillah</v>
      </c>
      <c r="M48" s="16" t="str">
        <f>Sheet1!M66</f>
        <v>Hosniyatun</v>
      </c>
      <c r="N48" s="16" t="str">
        <f ca="1">Sheet1!N66</f>
        <v>23 Tahun, 8 Bulan, 1 Hari</v>
      </c>
      <c r="O48" s="16"/>
      <c r="P48" s="16"/>
    </row>
    <row r="49" spans="1:16" ht="18" hidden="1" customHeight="1" x14ac:dyDescent="0.25">
      <c r="A49" s="13">
        <f>Sheet1!A67</f>
        <v>66</v>
      </c>
      <c r="B49" s="14">
        <v>46</v>
      </c>
      <c r="C49" s="16" t="str">
        <f>Sheet1!C67</f>
        <v>3 SMA</v>
      </c>
      <c r="D49" s="14" t="str">
        <f>Sheet1!D67</f>
        <v>2C</v>
      </c>
      <c r="E49" s="14" t="str">
        <f>Sheet1!E67</f>
        <v>Wustha</v>
      </c>
      <c r="F49" s="16">
        <f>Sheet1!F67</f>
        <v>3288</v>
      </c>
      <c r="G49" s="16" t="str">
        <f>Sheet1!G67</f>
        <v>Ahmad Khoiril Anwar</v>
      </c>
      <c r="H49" s="15" t="str">
        <f>Sheet1!H67</f>
        <v>Bondowoso</v>
      </c>
      <c r="I49" s="17" t="str">
        <f>Sheet1!I67</f>
        <v>7 Agustus 2007</v>
      </c>
      <c r="J49" s="14" t="str">
        <f>Sheet1!J67</f>
        <v>A 14</v>
      </c>
      <c r="K49" s="16" t="str">
        <f>Sheet1!K67</f>
        <v>Jebung kidul-Tlogosari-Bondowoso</v>
      </c>
      <c r="L49" s="16" t="str">
        <f>Sheet1!L67</f>
        <v>Salim</v>
      </c>
      <c r="M49" s="16">
        <f>Sheet1!M67</f>
        <v>0</v>
      </c>
      <c r="N49" s="16" t="str">
        <f ca="1">Sheet1!N67</f>
        <v>17 Tahun, 4 Bulan, 14 Hari</v>
      </c>
      <c r="O49" s="16"/>
      <c r="P49" s="16"/>
    </row>
    <row r="50" spans="1:16" ht="18" hidden="1" customHeight="1" x14ac:dyDescent="0.25">
      <c r="A50" s="13">
        <f>Sheet1!A68</f>
        <v>67</v>
      </c>
      <c r="B50" s="14">
        <v>47</v>
      </c>
      <c r="C50" s="16" t="str">
        <f>Sheet1!C68</f>
        <v>STAI</v>
      </c>
      <c r="D50" s="14" t="str">
        <f>Sheet1!D68</f>
        <v>3C</v>
      </c>
      <c r="E50" s="14" t="str">
        <f>Sheet1!E68</f>
        <v>Wustha</v>
      </c>
      <c r="F50" s="16">
        <f>Sheet1!F68</f>
        <v>2886</v>
      </c>
      <c r="G50" s="16" t="str">
        <f>Sheet1!G68</f>
        <v>Muhammad Farhan Abdullah</v>
      </c>
      <c r="H50" s="15" t="str">
        <f>Sheet1!H68</f>
        <v>Bondowoso</v>
      </c>
      <c r="I50" s="17">
        <f>Sheet1!I68</f>
        <v>38507</v>
      </c>
      <c r="J50" s="14" t="str">
        <f>Sheet1!J68</f>
        <v>A 14</v>
      </c>
      <c r="K50" s="16" t="str">
        <f>Sheet1!K68</f>
        <v>Jebung Kidul-Tlogosari-Bondowoso</v>
      </c>
      <c r="L50" s="16" t="str">
        <f>Sheet1!L68</f>
        <v>Zeyni</v>
      </c>
      <c r="M50" s="16" t="str">
        <f>Sheet1!M68</f>
        <v>Sulastri</v>
      </c>
      <c r="N50" s="16" t="str">
        <f ca="1">Sheet1!N68</f>
        <v>19 Tahun, 6 Bulan, 17 Hari</v>
      </c>
      <c r="O50" s="16"/>
      <c r="P50" s="16"/>
    </row>
    <row r="51" spans="1:16" ht="18" hidden="1" customHeight="1" x14ac:dyDescent="0.25">
      <c r="A51" s="13">
        <f>Sheet1!A69</f>
        <v>68</v>
      </c>
      <c r="B51" s="14">
        <v>48</v>
      </c>
      <c r="C51" s="16">
        <f>Sheet1!C69</f>
        <v>0</v>
      </c>
      <c r="D51" s="14" t="str">
        <f>Sheet1!D69</f>
        <v>2C</v>
      </c>
      <c r="E51" s="14" t="str">
        <f>Sheet1!E69</f>
        <v>Ulya</v>
      </c>
      <c r="F51" s="16">
        <f>Sheet1!F69</f>
        <v>1579</v>
      </c>
      <c r="G51" s="16" t="str">
        <f>Sheet1!G69</f>
        <v>Muhammad Hasan Nurdin</v>
      </c>
      <c r="H51" s="15" t="str">
        <f>Sheet1!H69</f>
        <v>Bondowoso</v>
      </c>
      <c r="I51" s="17" t="str">
        <f>Sheet1!I69</f>
        <v>12 April 2005</v>
      </c>
      <c r="J51" s="14" t="str">
        <f>Sheet1!J69</f>
        <v>A 15</v>
      </c>
      <c r="K51" s="16" t="str">
        <f>Sheet1!K69</f>
        <v>Dusun Krajan, Rt 002/ Rw 001, Kalianyar, Kec.Tamanan, Kab.Bondowoso</v>
      </c>
      <c r="L51" s="16" t="str">
        <f>Sheet1!L69</f>
        <v>Hartono</v>
      </c>
      <c r="M51" s="16" t="str">
        <f>Sheet1!M69</f>
        <v>Sumiati</v>
      </c>
      <c r="N51" s="16" t="str">
        <f ca="1">Sheet1!N69</f>
        <v>19 Tahun, 8 Bulan, 9 Hari</v>
      </c>
      <c r="O51" s="16"/>
      <c r="P51" s="16"/>
    </row>
    <row r="52" spans="1:16" ht="18" hidden="1" customHeight="1" x14ac:dyDescent="0.25">
      <c r="A52" s="13">
        <f>Sheet1!A70</f>
        <v>69</v>
      </c>
      <c r="B52" s="14">
        <v>49</v>
      </c>
      <c r="C52" s="16">
        <f>Sheet1!C70</f>
        <v>0</v>
      </c>
      <c r="D52" s="14" t="str">
        <f>Sheet1!D70</f>
        <v>2A</v>
      </c>
      <c r="E52" s="14" t="str">
        <f>Sheet1!E70</f>
        <v>Ulya</v>
      </c>
      <c r="F52" s="16">
        <f>Sheet1!F70</f>
        <v>1615</v>
      </c>
      <c r="G52" s="16" t="str">
        <f>Sheet1!G70</f>
        <v xml:space="preserve">Syamsul Arifin </v>
      </c>
      <c r="H52" s="15" t="str">
        <f>Sheet1!H70</f>
        <v>Bondowoso</v>
      </c>
      <c r="I52" s="17" t="str">
        <f>Sheet1!I70</f>
        <v>08 Agustus 2003</v>
      </c>
      <c r="J52" s="14" t="str">
        <f>Sheet1!J70</f>
        <v>A 15</v>
      </c>
      <c r="K52" s="16" t="str">
        <f>Sheet1!K70</f>
        <v>Dusun Sumber Bajur, Rt 010/ Rw 004, Kemirian, Kec.Tamanan, Kab.Bondowoso</v>
      </c>
      <c r="L52" s="16" t="str">
        <f>Sheet1!L70</f>
        <v>Saifullah</v>
      </c>
      <c r="M52" s="16" t="str">
        <f>Sheet1!M70</f>
        <v>Sovin Suraida</v>
      </c>
      <c r="N52" s="16" t="str">
        <f ca="1">Sheet1!N70</f>
        <v>21 Tahun, 4 Bulan, 13 Hari</v>
      </c>
      <c r="O52" s="16"/>
      <c r="P52" s="16"/>
    </row>
    <row r="53" spans="1:16" ht="18" hidden="1" customHeight="1" x14ac:dyDescent="0.25">
      <c r="A53" s="13">
        <f>Sheet1!A71</f>
        <v>70</v>
      </c>
      <c r="B53" s="14">
        <v>50</v>
      </c>
      <c r="C53" s="16" t="str">
        <f>Sheet1!C71</f>
        <v>-</v>
      </c>
      <c r="D53" s="14" t="str">
        <f>Sheet1!D71</f>
        <v>3C</v>
      </c>
      <c r="E53" s="14" t="str">
        <f>Sheet1!E71</f>
        <v>Wustha</v>
      </c>
      <c r="F53" s="16">
        <f>Sheet1!F71</f>
        <v>2797</v>
      </c>
      <c r="G53" s="16" t="str">
        <f>Sheet1!G71</f>
        <v>Mochammad Rizal</v>
      </c>
      <c r="H53" s="15" t="str">
        <f>Sheet1!H71</f>
        <v>Bondowoso</v>
      </c>
      <c r="I53" s="17">
        <f>Sheet1!I71</f>
        <v>39056</v>
      </c>
      <c r="J53" s="14" t="str">
        <f>Sheet1!J71</f>
        <v>A 15</v>
      </c>
      <c r="K53" s="16" t="str">
        <f>Sheet1!K71</f>
        <v>Kalianyar-Tamanan-bondowoso</v>
      </c>
      <c r="L53" s="16" t="str">
        <f>Sheet1!L71</f>
        <v>Mastuki</v>
      </c>
      <c r="M53" s="16" t="str">
        <f>Sheet1!M71</f>
        <v>Nailatul Fadilah</v>
      </c>
      <c r="N53" s="16" t="str">
        <f ca="1">Sheet1!N71</f>
        <v>18 Tahun, 0 Bulan, 16 Hari</v>
      </c>
      <c r="O53" s="16"/>
      <c r="P53" s="16"/>
    </row>
    <row r="54" spans="1:16" ht="18" hidden="1" customHeight="1" x14ac:dyDescent="0.25">
      <c r="A54" s="13">
        <f>Sheet1!A72</f>
        <v>71</v>
      </c>
      <c r="B54" s="14">
        <v>51</v>
      </c>
      <c r="C54" s="16" t="str">
        <f>Sheet1!C72</f>
        <v>-</v>
      </c>
      <c r="D54" s="14" t="str">
        <f>Sheet1!D72</f>
        <v>3C</v>
      </c>
      <c r="E54" s="14" t="str">
        <f>Sheet1!E72</f>
        <v>Wustha</v>
      </c>
      <c r="F54" s="16">
        <f>Sheet1!F72</f>
        <v>2813</v>
      </c>
      <c r="G54" s="16" t="str">
        <f>Sheet1!G72</f>
        <v>Mohammad Ridwan</v>
      </c>
      <c r="H54" s="15" t="str">
        <f>Sheet1!H72</f>
        <v>Bondowoso</v>
      </c>
      <c r="I54" s="17">
        <f>Sheet1!I72</f>
        <v>38054</v>
      </c>
      <c r="J54" s="14" t="str">
        <f>Sheet1!J72</f>
        <v>A 15</v>
      </c>
      <c r="K54" s="16" t="str">
        <f>Sheet1!K72</f>
        <v>Lojajar-Tenggarang-Bondowoso</v>
      </c>
      <c r="L54" s="16" t="str">
        <f>Sheet1!L72</f>
        <v>Sudarsono</v>
      </c>
      <c r="M54" s="16" t="str">
        <f>Sheet1!M72</f>
        <v>Rahma</v>
      </c>
      <c r="N54" s="16" t="str">
        <f ca="1">Sheet1!N72</f>
        <v>20 Tahun, 9 Bulan, 13 Hari</v>
      </c>
      <c r="O54" s="16"/>
      <c r="P54" s="16"/>
    </row>
    <row r="55" spans="1:16" ht="18" hidden="1" customHeight="1" x14ac:dyDescent="0.25">
      <c r="A55" s="13">
        <f>Sheet1!A73</f>
        <v>72</v>
      </c>
      <c r="B55" s="14">
        <v>52</v>
      </c>
      <c r="C55" s="16">
        <f>Sheet1!C73</f>
        <v>0</v>
      </c>
      <c r="D55" s="14" t="str">
        <f>Sheet1!D73</f>
        <v>2A</v>
      </c>
      <c r="E55" s="14" t="str">
        <f>Sheet1!E73</f>
        <v>Ulya</v>
      </c>
      <c r="F55" s="16">
        <f>Sheet1!F73</f>
        <v>1570</v>
      </c>
      <c r="G55" s="16" t="str">
        <f>Sheet1!G73</f>
        <v>Muhammad Alan Widarsyah</v>
      </c>
      <c r="H55" s="15" t="str">
        <f>Sheet1!H73</f>
        <v>Bondowoso</v>
      </c>
      <c r="I55" s="17">
        <f>Sheet1!I73</f>
        <v>38351</v>
      </c>
      <c r="J55" s="14" t="str">
        <f>Sheet1!J73</f>
        <v>A 16</v>
      </c>
      <c r="K55" s="16" t="str">
        <f>Sheet1!K73</f>
        <v>Kalianyar, , , Tamanan, Bondowoso</v>
      </c>
      <c r="L55" s="16" t="str">
        <f>Sheet1!L73</f>
        <v>Juharman</v>
      </c>
      <c r="M55" s="16" t="str">
        <f>Sheet1!M73</f>
        <v>Halimatus Sakdiyah</v>
      </c>
      <c r="N55" s="16" t="str">
        <f ca="1">Sheet1!N73</f>
        <v>19 Tahun, 11 Bulan, 21 Hari</v>
      </c>
      <c r="O55" s="16"/>
      <c r="P55" s="16"/>
    </row>
    <row r="56" spans="1:16" ht="18" hidden="1" customHeight="1" x14ac:dyDescent="0.25">
      <c r="A56" s="13">
        <f>Sheet1!A74</f>
        <v>73</v>
      </c>
      <c r="B56" s="14">
        <v>53</v>
      </c>
      <c r="C56" s="16">
        <f>Sheet1!C74</f>
        <v>0</v>
      </c>
      <c r="D56" s="14">
        <f>Sheet1!D74</f>
        <v>1</v>
      </c>
      <c r="E56" s="14" t="str">
        <f>Sheet1!E74</f>
        <v>Ulya</v>
      </c>
      <c r="F56" s="16">
        <f>Sheet1!F74</f>
        <v>2537</v>
      </c>
      <c r="G56" s="16" t="str">
        <f>Sheet1!G74</f>
        <v>Muhammad Hasan Bulqiyah</v>
      </c>
      <c r="H56" s="15" t="str">
        <f>Sheet1!H74</f>
        <v>Bondowoso</v>
      </c>
      <c r="I56" s="17" t="str">
        <f>Sheet1!I74</f>
        <v>23 Juni 2005</v>
      </c>
      <c r="J56" s="14" t="str">
        <f>Sheet1!J74</f>
        <v>A 16</v>
      </c>
      <c r="K56" s="16" t="str">
        <f>Sheet1!K74</f>
        <v>Gabugan-Jambesari DS-Bondowoso</v>
      </c>
      <c r="L56" s="16" t="str">
        <f>Sheet1!L74</f>
        <v>Misbahul Munir</v>
      </c>
      <c r="M56" s="16" t="str">
        <f>Sheet1!M74</f>
        <v>Miswati</v>
      </c>
      <c r="N56" s="16" t="str">
        <f ca="1">Sheet1!N74</f>
        <v>19 Tahun, 5 Bulan, 28 Hari</v>
      </c>
      <c r="O56" s="16"/>
      <c r="P56" s="16"/>
    </row>
    <row r="57" spans="1:16" ht="18" hidden="1" customHeight="1" x14ac:dyDescent="0.25">
      <c r="A57" s="13">
        <f>Sheet1!A75</f>
        <v>74</v>
      </c>
      <c r="B57" s="14">
        <v>54</v>
      </c>
      <c r="C57" s="16">
        <f>Sheet1!C75</f>
        <v>0</v>
      </c>
      <c r="D57" s="14" t="str">
        <f>Sheet1!D75</f>
        <v>2A</v>
      </c>
      <c r="E57" s="14" t="str">
        <f>Sheet1!E75</f>
        <v>Ulya</v>
      </c>
      <c r="F57" s="16">
        <f>Sheet1!F75</f>
        <v>1598</v>
      </c>
      <c r="G57" s="16" t="str">
        <f>Sheet1!G75</f>
        <v>Muhammad Suyono</v>
      </c>
      <c r="H57" s="15" t="str">
        <f>Sheet1!H75</f>
        <v>Bondowoso</v>
      </c>
      <c r="I57" s="17" t="str">
        <f>Sheet1!I75</f>
        <v>07 Juli 2003</v>
      </c>
      <c r="J57" s="14" t="str">
        <f>Sheet1!J75</f>
        <v>A 16</v>
      </c>
      <c r="K57" s="16" t="str">
        <f>Sheet1!K75</f>
        <v>Jambeanom, , , Jambesari DS, Bondowoso</v>
      </c>
      <c r="L57" s="16" t="str">
        <f>Sheet1!L75</f>
        <v>Abdur Rasyid</v>
      </c>
      <c r="M57" s="16" t="str">
        <f>Sheet1!M75</f>
        <v>Juharoh</v>
      </c>
      <c r="N57" s="16" t="str">
        <f ca="1">Sheet1!N75</f>
        <v>21 Tahun, 5 Bulan, 14 Hari</v>
      </c>
      <c r="O57" s="16"/>
      <c r="P57" s="16"/>
    </row>
    <row r="58" spans="1:16" ht="18" hidden="1" customHeight="1" x14ac:dyDescent="0.25">
      <c r="A58" s="13">
        <f>Sheet1!A76</f>
        <v>75</v>
      </c>
      <c r="B58" s="14">
        <v>55</v>
      </c>
      <c r="C58" s="16" t="str">
        <f>Sheet1!C76</f>
        <v>1 SMA</v>
      </c>
      <c r="D58" s="14" t="str">
        <f>Sheet1!D76</f>
        <v>2A</v>
      </c>
      <c r="E58" s="14" t="str">
        <f>Sheet1!E76</f>
        <v>Wustha</v>
      </c>
      <c r="F58" s="16">
        <f>Sheet1!F76</f>
        <v>3207</v>
      </c>
      <c r="G58" s="16" t="str">
        <f>Sheet1!G76</f>
        <v>Aril</v>
      </c>
      <c r="H58" s="15" t="str">
        <f>Sheet1!H76</f>
        <v>Bondowoso</v>
      </c>
      <c r="I58" s="17">
        <f>Sheet1!I76</f>
        <v>39378</v>
      </c>
      <c r="J58" s="14" t="str">
        <f>Sheet1!J76</f>
        <v>A 16</v>
      </c>
      <c r="K58" s="16" t="str">
        <f>Sheet1!K76</f>
        <v>Gabugan 018/004 Jambesari Jambesari Darus Sholah Bondowoso</v>
      </c>
      <c r="L58" s="16" t="str">
        <f>Sheet1!L76</f>
        <v>Mattasin</v>
      </c>
      <c r="M58" s="16" t="str">
        <f>Sheet1!M76</f>
        <v>Kusniyah</v>
      </c>
      <c r="N58" s="16" t="str">
        <f ca="1">Sheet1!N76</f>
        <v>17 Tahun, 1 Bulan, 28 Hari</v>
      </c>
      <c r="O58" s="16"/>
      <c r="P58" s="16"/>
    </row>
    <row r="59" spans="1:16" ht="18" hidden="1" customHeight="1" x14ac:dyDescent="0.25">
      <c r="A59" s="13">
        <f>Sheet1!A77</f>
        <v>76</v>
      </c>
      <c r="B59" s="14">
        <v>56</v>
      </c>
      <c r="C59" s="16">
        <f>Sheet1!C77</f>
        <v>0</v>
      </c>
      <c r="D59" s="14" t="str">
        <f>Sheet1!D77</f>
        <v>2A</v>
      </c>
      <c r="E59" s="14" t="str">
        <f>Sheet1!E77</f>
        <v>Ulya</v>
      </c>
      <c r="F59" s="16">
        <f>Sheet1!F77</f>
        <v>1546</v>
      </c>
      <c r="G59" s="16" t="str">
        <f>Sheet1!G77</f>
        <v>Ifadhal Dinan</v>
      </c>
      <c r="H59" s="15" t="str">
        <f>Sheet1!H77</f>
        <v>Jember</v>
      </c>
      <c r="I59" s="17" t="str">
        <f>Sheet1!I77</f>
        <v>20 Februari 2006</v>
      </c>
      <c r="J59" s="14" t="str">
        <f>Sheet1!J77</f>
        <v>A 17</v>
      </c>
      <c r="K59" s="16" t="str">
        <f>Sheet1!K77</f>
        <v>Dusun Krajan, Rt 001/ Rw 005, Pringgondani, Kec.Sumber Jambe, Kab.Jember</v>
      </c>
      <c r="L59" s="16" t="str">
        <f>Sheet1!L77</f>
        <v>Sugiarto</v>
      </c>
      <c r="M59" s="16" t="str">
        <f>Sheet1!M77</f>
        <v>Siti Halimah</v>
      </c>
      <c r="N59" s="16" t="str">
        <f ca="1">Sheet1!N77</f>
        <v>18 Tahun, 10 Bulan, 1 Hari</v>
      </c>
      <c r="O59" s="16"/>
      <c r="P59" s="16"/>
    </row>
    <row r="60" spans="1:16" ht="18" hidden="1" customHeight="1" x14ac:dyDescent="0.25">
      <c r="A60" s="13">
        <f>Sheet1!A84</f>
        <v>83</v>
      </c>
      <c r="B60" s="14">
        <v>57</v>
      </c>
      <c r="C60" s="16">
        <f>Sheet1!C84</f>
        <v>0</v>
      </c>
      <c r="D60" s="14" t="str">
        <f>Sheet1!D84</f>
        <v>2B</v>
      </c>
      <c r="E60" s="14" t="str">
        <f>Sheet1!E84</f>
        <v>Ulya</v>
      </c>
      <c r="F60" s="16">
        <f>Sheet1!F84</f>
        <v>1612</v>
      </c>
      <c r="G60" s="16" t="str">
        <f>Sheet1!G84</f>
        <v>Samsul Arifin B</v>
      </c>
      <c r="H60" s="15" t="str">
        <f>Sheet1!H84</f>
        <v>Bondowoso</v>
      </c>
      <c r="I60" s="17" t="str">
        <f>Sheet1!I84</f>
        <v>05 September 2006</v>
      </c>
      <c r="J60" s="14" t="str">
        <f>Sheet1!J84</f>
        <v>A 18</v>
      </c>
      <c r="K60" s="16" t="str">
        <f>Sheet1!K84</f>
        <v xml:space="preserve">Mengok, 001/001, Kec.Pujer, Kab.Bondowoso, </v>
      </c>
      <c r="L60" s="16" t="str">
        <f>Sheet1!L84</f>
        <v>Kurdi</v>
      </c>
      <c r="M60" s="16" t="str">
        <f>Sheet1!M84</f>
        <v>Hatija</v>
      </c>
      <c r="N60" s="16" t="str">
        <f ca="1">Sheet1!N84</f>
        <v>18 Tahun, 3 Bulan, 16 Hari</v>
      </c>
      <c r="O60" s="16"/>
      <c r="P60" s="16"/>
    </row>
    <row r="61" spans="1:16" ht="18" hidden="1" customHeight="1" x14ac:dyDescent="0.25">
      <c r="A61" s="13">
        <f>Sheet1!A85</f>
        <v>84</v>
      </c>
      <c r="B61" s="14">
        <v>58</v>
      </c>
      <c r="C61" s="16">
        <f>Sheet1!C85</f>
        <v>0</v>
      </c>
      <c r="D61" s="14">
        <f>Sheet1!D85</f>
        <v>1</v>
      </c>
      <c r="E61" s="14" t="str">
        <f>Sheet1!E85</f>
        <v>Ulya</v>
      </c>
      <c r="F61" s="16">
        <f>Sheet1!F85</f>
        <v>2516</v>
      </c>
      <c r="G61" s="16" t="str">
        <f>Sheet1!G85</f>
        <v>Hafit</v>
      </c>
      <c r="H61" s="15" t="str">
        <f>Sheet1!H85</f>
        <v>Bondowoso</v>
      </c>
      <c r="I61" s="17" t="str">
        <f>Sheet1!I85</f>
        <v>15 Juni 2006</v>
      </c>
      <c r="J61" s="14" t="str">
        <f>Sheet1!J85</f>
        <v>A 18</v>
      </c>
      <c r="K61" s="16" t="str">
        <f>Sheet1!K85</f>
        <v>Jambeanom-Jambesari DS Bondowoso</v>
      </c>
      <c r="L61" s="16" t="str">
        <f>Sheet1!L85</f>
        <v>Supar</v>
      </c>
      <c r="M61" s="16" t="str">
        <f>Sheet1!M85</f>
        <v>Nursiya</v>
      </c>
      <c r="N61" s="16" t="str">
        <f ca="1">Sheet1!N85</f>
        <v>18 Tahun, 6 Bulan, 6 Hari</v>
      </c>
      <c r="O61" s="16"/>
      <c r="P61" s="16"/>
    </row>
    <row r="62" spans="1:16" ht="18" hidden="1" customHeight="1" x14ac:dyDescent="0.25">
      <c r="A62" s="13">
        <f>Sheet1!A86</f>
        <v>85</v>
      </c>
      <c r="B62" s="14">
        <v>2</v>
      </c>
      <c r="C62" s="16">
        <f>Sheet1!C86</f>
        <v>0</v>
      </c>
      <c r="D62" s="14" t="str">
        <f>Sheet1!D86</f>
        <v>B</v>
      </c>
      <c r="E62" s="14" t="str">
        <f>Sheet1!E86</f>
        <v>Isti'dadiyah</v>
      </c>
      <c r="F62" s="16">
        <f>Sheet1!F86</f>
        <v>1431262</v>
      </c>
      <c r="G62" s="16" t="str">
        <f>Sheet1!G86</f>
        <v>Sevi Heryadi</v>
      </c>
      <c r="H62" s="15" t="str">
        <f>Sheet1!H86</f>
        <v>Bondowoso</v>
      </c>
      <c r="I62" s="17">
        <f>Sheet1!I86</f>
        <v>38735</v>
      </c>
      <c r="J62" s="14" t="str">
        <f>Sheet1!J86</f>
        <v>B 01</v>
      </c>
      <c r="K62" s="16" t="str">
        <f>Sheet1!K86</f>
        <v>Sukowono, Rt 11, Rw 3, Sukowono, Pujer, Bondowoso</v>
      </c>
      <c r="L62" s="16" t="str">
        <f>Sheet1!L86</f>
        <v>Hasan</v>
      </c>
      <c r="M62" s="16" t="str">
        <f>Sheet1!M86</f>
        <v>Zainab</v>
      </c>
      <c r="N62" s="16" t="str">
        <f ca="1">Sheet1!N86</f>
        <v>18 Tahun, 11 Bulan, 3 Hari</v>
      </c>
      <c r="O62" s="16"/>
      <c r="P62" s="16"/>
    </row>
    <row r="63" spans="1:16" ht="18" hidden="1" customHeight="1" x14ac:dyDescent="0.25">
      <c r="A63" s="13">
        <f>Sheet1!A87</f>
        <v>86</v>
      </c>
      <c r="B63" s="14">
        <v>3</v>
      </c>
      <c r="C63" s="16">
        <f>Sheet1!C87</f>
        <v>0</v>
      </c>
      <c r="D63" s="14">
        <f>Sheet1!D87</f>
        <v>1</v>
      </c>
      <c r="E63" s="14" t="str">
        <f>Sheet1!E87</f>
        <v>Ulya</v>
      </c>
      <c r="F63" s="16">
        <f>Sheet1!F87</f>
        <v>2470</v>
      </c>
      <c r="G63" s="16" t="str">
        <f>Sheet1!G87</f>
        <v>Moch. Fahrur Rohil</v>
      </c>
      <c r="H63" s="15" t="str">
        <f>Sheet1!H87</f>
        <v>Bondowoso</v>
      </c>
      <c r="I63" s="17" t="str">
        <f>Sheet1!I87</f>
        <v>20 Juni 2006</v>
      </c>
      <c r="J63" s="14" t="str">
        <f>Sheet1!J87</f>
        <v>B 01</v>
      </c>
      <c r="K63" s="16" t="str">
        <f>Sheet1!K87</f>
        <v>Gabugan</v>
      </c>
      <c r="L63" s="16" t="str">
        <f>Sheet1!L87</f>
        <v>Abdul Munif</v>
      </c>
      <c r="M63" s="16" t="str">
        <f>Sheet1!M87</f>
        <v>Malihah</v>
      </c>
      <c r="N63" s="16" t="str">
        <f ca="1">Sheet1!N87</f>
        <v>18 Tahun, 6 Bulan, 1 Hari</v>
      </c>
      <c r="O63" s="16"/>
      <c r="P63" s="16"/>
    </row>
    <row r="64" spans="1:16" ht="18" hidden="1" customHeight="1" x14ac:dyDescent="0.25">
      <c r="A64" s="13">
        <f>Sheet1!A88</f>
        <v>87</v>
      </c>
      <c r="B64" s="14">
        <v>4</v>
      </c>
      <c r="C64" s="16">
        <f>Sheet1!C88</f>
        <v>0</v>
      </c>
      <c r="D64" s="14" t="str">
        <f>Sheet1!D88</f>
        <v>2B</v>
      </c>
      <c r="E64" s="14" t="str">
        <f>Sheet1!E88</f>
        <v>Ulya</v>
      </c>
      <c r="F64" s="16">
        <f>Sheet1!F88</f>
        <v>1514</v>
      </c>
      <c r="G64" s="16" t="str">
        <f>Sheet1!G88</f>
        <v>Abd. Qodir Jailani</v>
      </c>
      <c r="H64" s="15" t="str">
        <f>Sheet1!H88</f>
        <v>Bondowoso</v>
      </c>
      <c r="I64" s="17" t="str">
        <f>Sheet1!I88</f>
        <v>08 Oktober 2005</v>
      </c>
      <c r="J64" s="14" t="str">
        <f>Sheet1!J88</f>
        <v>B 01</v>
      </c>
      <c r="K64" s="16" t="str">
        <f>Sheet1!K88</f>
        <v>Sulek, Rt 006/ Rw 003, , Kec.Tlogosari, Kab.Bondowoso</v>
      </c>
      <c r="L64" s="16" t="str">
        <f>Sheet1!L88</f>
        <v>Erri</v>
      </c>
      <c r="M64" s="16">
        <f>Sheet1!M88</f>
        <v>0</v>
      </c>
      <c r="N64" s="16" t="str">
        <f ca="1">Sheet1!N88</f>
        <v>19 Tahun, 2 Bulan, 13 Hari</v>
      </c>
      <c r="O64" s="16"/>
      <c r="P64" s="16"/>
    </row>
    <row r="65" spans="1:16" ht="18" hidden="1" customHeight="1" x14ac:dyDescent="0.25">
      <c r="A65" s="13">
        <f>Sheet1!A89</f>
        <v>88</v>
      </c>
      <c r="B65" s="14">
        <v>5</v>
      </c>
      <c r="C65" s="16">
        <f>Sheet1!C89</f>
        <v>0</v>
      </c>
      <c r="D65" s="14" t="str">
        <f>Sheet1!D89</f>
        <v>2C</v>
      </c>
      <c r="E65" s="14" t="str">
        <f>Sheet1!E89</f>
        <v>Ulya</v>
      </c>
      <c r="F65" s="16">
        <f>Sheet1!F89</f>
        <v>1549</v>
      </c>
      <c r="G65" s="16" t="str">
        <f>Sheet1!G89</f>
        <v>Imam Thobrani</v>
      </c>
      <c r="H65" s="15" t="str">
        <f>Sheet1!H89</f>
        <v>Bondowoso</v>
      </c>
      <c r="I65" s="17" t="str">
        <f>Sheet1!I89</f>
        <v>09 Desember 2004</v>
      </c>
      <c r="J65" s="14" t="str">
        <f>Sheet1!J89</f>
        <v>B 01</v>
      </c>
      <c r="K65" s="16" t="str">
        <f>Sheet1!K89</f>
        <v>Dusun Silowogo, 009/003, Kemirian, Kec.Tamanan, Kab.Bondowoso</v>
      </c>
      <c r="L65" s="16" t="str">
        <f>Sheet1!L89</f>
        <v>Juhari</v>
      </c>
      <c r="M65" s="16">
        <f>Sheet1!M89</f>
        <v>0</v>
      </c>
      <c r="N65" s="16" t="str">
        <f ca="1">Sheet1!N89</f>
        <v>20 Tahun, 0 Bulan, 12 Hari</v>
      </c>
      <c r="O65" s="16"/>
      <c r="P65" s="16"/>
    </row>
    <row r="66" spans="1:16" hidden="1" x14ac:dyDescent="0.25">
      <c r="A66" s="13">
        <f>Sheet1!A90</f>
        <v>89</v>
      </c>
      <c r="B66" s="14">
        <v>6</v>
      </c>
      <c r="C66" s="16">
        <f>Sheet1!C90</f>
        <v>0</v>
      </c>
      <c r="D66" s="14" t="str">
        <f>Sheet1!D90</f>
        <v>2A</v>
      </c>
      <c r="E66" s="14" t="str">
        <f>Sheet1!E90</f>
        <v>Ulya</v>
      </c>
      <c r="F66" s="16">
        <f>Sheet1!F90</f>
        <v>1596</v>
      </c>
      <c r="G66" s="16" t="str">
        <f>Sheet1!G90</f>
        <v>Muhammad Solihin</v>
      </c>
      <c r="H66" s="15" t="str">
        <f>Sheet1!H90</f>
        <v>Bondowoso</v>
      </c>
      <c r="I66" s="17" t="str">
        <f>Sheet1!I90</f>
        <v>16 November 2004</v>
      </c>
      <c r="J66" s="14" t="str">
        <f>Sheet1!J90</f>
        <v>B 01</v>
      </c>
      <c r="K66" s="16" t="str">
        <f>Sheet1!K90</f>
        <v>Gunosari, Rt 003/ Rw 001, , Kec.Tlogosari, Kab.Bondowoso</v>
      </c>
      <c r="L66" s="16" t="str">
        <f>Sheet1!L90</f>
        <v>Abdurrahim</v>
      </c>
      <c r="M66" s="16" t="str">
        <f>Sheet1!M90</f>
        <v>Rosmawati</v>
      </c>
      <c r="N66" s="16" t="str">
        <f ca="1">Sheet1!N90</f>
        <v>20 Tahun, 1 Bulan, 5 Hari</v>
      </c>
      <c r="O66" s="16"/>
      <c r="P66" s="16"/>
    </row>
    <row r="67" spans="1:16" hidden="1" x14ac:dyDescent="0.25">
      <c r="A67" s="13">
        <f>Sheet1!A91</f>
        <v>90</v>
      </c>
      <c r="B67" s="14">
        <v>7</v>
      </c>
      <c r="C67" s="16">
        <f>Sheet1!C91</f>
        <v>0</v>
      </c>
      <c r="D67" s="14" t="str">
        <f>Sheet1!D91</f>
        <v>2B</v>
      </c>
      <c r="E67" s="14" t="str">
        <f>Sheet1!E91</f>
        <v>Ulya</v>
      </c>
      <c r="F67" s="16">
        <f>Sheet1!F91</f>
        <v>1539</v>
      </c>
      <c r="G67" s="16" t="str">
        <f>Sheet1!G91</f>
        <v>Ferdi Ferdian Saputra</v>
      </c>
      <c r="H67" s="15" t="str">
        <f>Sheet1!H91</f>
        <v>Bondowoso</v>
      </c>
      <c r="I67" s="17" t="str">
        <f>Sheet1!I91</f>
        <v>18 Juni 2004</v>
      </c>
      <c r="J67" s="14" t="str">
        <f>Sheet1!J91</f>
        <v>B 01</v>
      </c>
      <c r="K67" s="16" t="str">
        <f>Sheet1!K91</f>
        <v>Gunosari, 033/005, , Kec.Tlogosari, Kab.Bondowoso</v>
      </c>
      <c r="L67" s="16" t="str">
        <f>Sheet1!L91</f>
        <v>Samsul Arifin</v>
      </c>
      <c r="M67" s="16" t="str">
        <f>Sheet1!M91</f>
        <v>Qudsiyah</v>
      </c>
      <c r="N67" s="16" t="str">
        <f ca="1">Sheet1!N91</f>
        <v>20 Tahun, 6 Bulan, 3 Hari</v>
      </c>
      <c r="O67" s="16"/>
      <c r="P67" s="16"/>
    </row>
    <row r="68" spans="1:16" hidden="1" x14ac:dyDescent="0.25">
      <c r="A68" s="13">
        <f>Sheet1!A92</f>
        <v>91</v>
      </c>
      <c r="B68" s="14">
        <v>8</v>
      </c>
      <c r="C68" s="16">
        <f>Sheet1!C92</f>
        <v>0</v>
      </c>
      <c r="D68" s="14" t="str">
        <f>Sheet1!D92</f>
        <v>2C</v>
      </c>
      <c r="E68" s="14" t="str">
        <f>Sheet1!E92</f>
        <v>Ulya</v>
      </c>
      <c r="F68" s="16">
        <f>Sheet1!F92</f>
        <v>1600</v>
      </c>
      <c r="G68" s="16" t="str">
        <f>Sheet1!G92</f>
        <v>Muhammad Zainurrofiq</v>
      </c>
      <c r="H68" s="15" t="str">
        <f>Sheet1!H92</f>
        <v>Bondowoso</v>
      </c>
      <c r="I68" s="17" t="str">
        <f>Sheet1!I92</f>
        <v>03 Maret 2004</v>
      </c>
      <c r="J68" s="14" t="str">
        <f>Sheet1!J92</f>
        <v>B 01</v>
      </c>
      <c r="K68" s="16" t="str">
        <f>Sheet1!K92</f>
        <v>Sumber Jeruk, Rt 005/Rw 002, , Kec.Jambesari DS, Kab.Bondowoso</v>
      </c>
      <c r="L68" s="16" t="str">
        <f>Sheet1!L92</f>
        <v>Syairozi</v>
      </c>
      <c r="M68" s="16" t="str">
        <f>Sheet1!M92</f>
        <v>Hamidatul Hasanah</v>
      </c>
      <c r="N68" s="16" t="str">
        <f ca="1">Sheet1!N92</f>
        <v>20 Tahun, 9 Bulan, 18 Hari</v>
      </c>
      <c r="O68" s="16"/>
      <c r="P68" s="16"/>
    </row>
    <row r="69" spans="1:16" hidden="1" x14ac:dyDescent="0.25">
      <c r="A69" s="13">
        <f>Sheet1!A93</f>
        <v>92</v>
      </c>
      <c r="B69" s="14">
        <v>9</v>
      </c>
      <c r="C69" s="16">
        <f>Sheet1!C93</f>
        <v>0</v>
      </c>
      <c r="D69" s="14">
        <f>Sheet1!D93</f>
        <v>1</v>
      </c>
      <c r="E69" s="14" t="str">
        <f>Sheet1!E93</f>
        <v>Ulya</v>
      </c>
      <c r="F69" s="16">
        <f>Sheet1!F93</f>
        <v>2424</v>
      </c>
      <c r="G69" s="16" t="str">
        <f>Sheet1!G93</f>
        <v>Muhammad Tolak</v>
      </c>
      <c r="H69" s="15" t="str">
        <f>Sheet1!H93</f>
        <v>Bondowoso</v>
      </c>
      <c r="I69" s="17" t="str">
        <f>Sheet1!I93</f>
        <v>28 Juni 2003</v>
      </c>
      <c r="J69" s="14" t="str">
        <f>Sheet1!J93</f>
        <v>B 01</v>
      </c>
      <c r="K69" s="16" t="str">
        <f>Sheet1!K93</f>
        <v>gunusari-tlogosari-bondowoso</v>
      </c>
      <c r="L69" s="16" t="str">
        <f>Sheet1!L93</f>
        <v>Ru'yanto</v>
      </c>
      <c r="M69" s="16" t="str">
        <f>Sheet1!M93</f>
        <v>Ririn</v>
      </c>
      <c r="N69" s="16" t="str">
        <f ca="1">Sheet1!N93</f>
        <v>21 Tahun, 5 Bulan, 23 Hari</v>
      </c>
      <c r="O69" s="16"/>
      <c r="P69" s="16"/>
    </row>
    <row r="70" spans="1:16" hidden="1" x14ac:dyDescent="0.25">
      <c r="A70" s="13">
        <f>Sheet1!A94</f>
        <v>93</v>
      </c>
      <c r="B70" s="14">
        <v>10</v>
      </c>
      <c r="C70" s="16">
        <f>Sheet1!C94</f>
        <v>0</v>
      </c>
      <c r="D70" s="14" t="str">
        <f>Sheet1!D94</f>
        <v>2A</v>
      </c>
      <c r="E70" s="14" t="str">
        <f>Sheet1!E94</f>
        <v>Ulya</v>
      </c>
      <c r="F70" s="16">
        <f>Sheet1!F94</f>
        <v>1543</v>
      </c>
      <c r="G70" s="16" t="str">
        <f>Sheet1!G94</f>
        <v>Hendra</v>
      </c>
      <c r="H70" s="15" t="str">
        <f>Sheet1!H94</f>
        <v>Bondowoso</v>
      </c>
      <c r="I70" s="17" t="str">
        <f>Sheet1!I94</f>
        <v>07 April 2003</v>
      </c>
      <c r="J70" s="14" t="str">
        <f>Sheet1!J94</f>
        <v>B 01</v>
      </c>
      <c r="K70" s="16" t="str">
        <f>Sheet1!K94</f>
        <v>Gunosari, Rt 028/Rw 004, , Kec.Tlogosari, Kab.Bondowoso</v>
      </c>
      <c r="L70" s="16" t="str">
        <f>Sheet1!L94</f>
        <v>burawi</v>
      </c>
      <c r="M70" s="16" t="str">
        <f>Sheet1!M94</f>
        <v>bebun</v>
      </c>
      <c r="N70" s="16" t="str">
        <f ca="1">Sheet1!N94</f>
        <v>21 Tahun, 8 Bulan, 14 Hari</v>
      </c>
      <c r="O70" s="16"/>
      <c r="P70" s="16"/>
    </row>
    <row r="71" spans="1:16" hidden="1" x14ac:dyDescent="0.25">
      <c r="A71" s="13">
        <f>Sheet1!A95</f>
        <v>94</v>
      </c>
      <c r="B71" s="14">
        <v>11</v>
      </c>
      <c r="C71" s="16">
        <f>Sheet1!C95</f>
        <v>0</v>
      </c>
      <c r="D71" s="14" t="str">
        <f>Sheet1!D95</f>
        <v>1B</v>
      </c>
      <c r="E71" s="14" t="str">
        <f>Sheet1!E95</f>
        <v>Wustha</v>
      </c>
      <c r="F71" s="16">
        <f>Sheet1!F95</f>
        <v>3664</v>
      </c>
      <c r="G71" s="16" t="str">
        <f>Sheet1!G95</f>
        <v>Muhammat Rizalallah</v>
      </c>
      <c r="H71" s="15" t="str">
        <f>Sheet1!H95</f>
        <v>Bondowoso</v>
      </c>
      <c r="I71" s="17" t="str">
        <f>Sheet1!I95</f>
        <v>18 JULI 2006</v>
      </c>
      <c r="J71" s="14" t="str">
        <f>Sheet1!J95</f>
        <v>B 01</v>
      </c>
      <c r="K71" s="16" t="str">
        <f>Sheet1!K95</f>
        <v>Dusun Gabugan 012/003 Jambesari Jambesari Darus Sholah Bondowoso</v>
      </c>
      <c r="L71" s="16" t="str">
        <f>Sheet1!L95</f>
        <v>Abd. Wahid</v>
      </c>
      <c r="M71" s="16" t="str">
        <f>Sheet1!M95</f>
        <v>Karyati</v>
      </c>
      <c r="N71" s="16" t="str">
        <f ca="1">Sheet1!N95</f>
        <v>18 Tahun, 5 Bulan, 3 Hari</v>
      </c>
      <c r="O71" s="16"/>
      <c r="P71" s="16"/>
    </row>
    <row r="72" spans="1:16" hidden="1" x14ac:dyDescent="0.25">
      <c r="A72" s="13">
        <f>Sheet1!A96</f>
        <v>95</v>
      </c>
      <c r="B72" s="14">
        <v>12</v>
      </c>
      <c r="C72" s="16">
        <f>Sheet1!C96</f>
        <v>0</v>
      </c>
      <c r="D72" s="14">
        <f>Sheet1!D96</f>
        <v>1</v>
      </c>
      <c r="E72" s="14" t="str">
        <f>Sheet1!E96</f>
        <v>Ulya</v>
      </c>
      <c r="F72" s="16">
        <f>Sheet1!F96</f>
        <v>2446</v>
      </c>
      <c r="G72" s="16" t="str">
        <f>Sheet1!G96</f>
        <v>Ifan Wahyudi</v>
      </c>
      <c r="H72" s="15" t="str">
        <f>Sheet1!H96</f>
        <v>Bondowoso</v>
      </c>
      <c r="I72" s="17" t="str">
        <f>Sheet1!I96</f>
        <v>05 Juli 2006</v>
      </c>
      <c r="J72" s="14" t="str">
        <f>Sheet1!J96</f>
        <v>B 02</v>
      </c>
      <c r="K72" s="16" t="str">
        <f>Sheet1!K96</f>
        <v>Dusun Batuan</v>
      </c>
      <c r="L72" s="16" t="str">
        <f>Sheet1!L96</f>
        <v>Agus Salim</v>
      </c>
      <c r="M72" s="16" t="str">
        <f>Sheet1!M96</f>
        <v>Safiratul Kufaili</v>
      </c>
      <c r="N72" s="16" t="str">
        <f ca="1">Sheet1!N96</f>
        <v>18 Tahun, 5 Bulan, 16 Hari</v>
      </c>
      <c r="O72" s="16"/>
      <c r="P72" s="16"/>
    </row>
    <row r="73" spans="1:16" hidden="1" x14ac:dyDescent="0.25">
      <c r="A73" s="13">
        <f>Sheet1!A97</f>
        <v>96</v>
      </c>
      <c r="B73" s="14">
        <v>13</v>
      </c>
      <c r="C73" s="16">
        <f>Sheet1!C97</f>
        <v>0</v>
      </c>
      <c r="D73" s="14" t="str">
        <f>Sheet1!D97</f>
        <v>2B</v>
      </c>
      <c r="E73" s="14" t="str">
        <f>Sheet1!E97</f>
        <v>Ulya</v>
      </c>
      <c r="F73" s="16">
        <f>Sheet1!F97</f>
        <v>1603</v>
      </c>
      <c r="G73" s="16" t="str">
        <f>Sheet1!G97</f>
        <v>Nur Hadi</v>
      </c>
      <c r="H73" s="15" t="str">
        <f>Sheet1!H97</f>
        <v>Bondowoso</v>
      </c>
      <c r="I73" s="17" t="str">
        <f>Sheet1!I97</f>
        <v>11 Maret 2005</v>
      </c>
      <c r="J73" s="14" t="str">
        <f>Sheet1!J97</f>
        <v>B 02</v>
      </c>
      <c r="K73" s="16" t="str">
        <f>Sheet1!K97</f>
        <v>Batuan Jambeanom, Rt 003 / Rw 001, , Kec.Jambesari DS, Kab.Bondowoso</v>
      </c>
      <c r="L73" s="16" t="str">
        <f>Sheet1!L97</f>
        <v>Akhmad</v>
      </c>
      <c r="M73" s="16" t="str">
        <f>Sheet1!M97</f>
        <v>Jumainnah</v>
      </c>
      <c r="N73" s="16" t="str">
        <f ca="1">Sheet1!N97</f>
        <v>19 Tahun, 9 Bulan, 10 Hari</v>
      </c>
      <c r="O73" s="16"/>
      <c r="P73" s="16"/>
    </row>
    <row r="74" spans="1:16" hidden="1" x14ac:dyDescent="0.25">
      <c r="A74" s="13">
        <f>Sheet1!A98</f>
        <v>97</v>
      </c>
      <c r="B74" s="14">
        <v>14</v>
      </c>
      <c r="C74" s="16">
        <f>Sheet1!C98</f>
        <v>0</v>
      </c>
      <c r="D74" s="14" t="str">
        <f>Sheet1!D98</f>
        <v>2B</v>
      </c>
      <c r="E74" s="14" t="str">
        <f>Sheet1!E98</f>
        <v>Ulya</v>
      </c>
      <c r="F74" s="16">
        <f>Sheet1!F98</f>
        <v>1526</v>
      </c>
      <c r="G74" s="16" t="str">
        <f>Sheet1!G98</f>
        <v>Ahmad Zaenul</v>
      </c>
      <c r="H74" s="15" t="str">
        <f>Sheet1!H98</f>
        <v>Bondowoso</v>
      </c>
      <c r="I74" s="17" t="str">
        <f>Sheet1!I98</f>
        <v xml:space="preserve">05 April 2004 </v>
      </c>
      <c r="J74" s="14" t="str">
        <f>Sheet1!J98</f>
        <v>B 02</v>
      </c>
      <c r="K74" s="16" t="str">
        <f>Sheet1!K98</f>
        <v>Maskuning Wetan, 017/004, , Pujer, Bondowoso</v>
      </c>
      <c r="L74" s="16" t="str">
        <f>Sheet1!L98</f>
        <v>Hesam</v>
      </c>
      <c r="M74" s="16" t="str">
        <f>Sheet1!M98</f>
        <v>Salima</v>
      </c>
      <c r="N74" s="16" t="str">
        <f ca="1">Sheet1!N98</f>
        <v>20 Tahun, 8 Bulan, 16 Hari</v>
      </c>
      <c r="O74" s="16"/>
      <c r="P74" s="16"/>
    </row>
    <row r="75" spans="1:16" hidden="1" x14ac:dyDescent="0.25">
      <c r="A75" s="13">
        <f>Sheet1!A99</f>
        <v>98</v>
      </c>
      <c r="B75" s="14">
        <v>15</v>
      </c>
      <c r="C75" s="16" t="str">
        <f>Sheet1!C99</f>
        <v>3 SMA</v>
      </c>
      <c r="D75" s="14" t="str">
        <f>Sheet1!D99</f>
        <v>1C</v>
      </c>
      <c r="E75" s="14" t="str">
        <f>Sheet1!E99</f>
        <v>Wustha</v>
      </c>
      <c r="F75" s="16">
        <f>Sheet1!F99</f>
        <v>3692</v>
      </c>
      <c r="G75" s="16" t="str">
        <f>Sheet1!G99</f>
        <v>Muhammad Anshori</v>
      </c>
      <c r="H75" s="15" t="str">
        <f>Sheet1!H99</f>
        <v>Bondowoso,</v>
      </c>
      <c r="I75" s="17" t="str">
        <f>Sheet1!I99</f>
        <v>27 JULI 2007</v>
      </c>
      <c r="J75" s="14" t="str">
        <f>Sheet1!J99</f>
        <v>B 02</v>
      </c>
      <c r="K75" s="16" t="str">
        <f>Sheet1!K99</f>
        <v>DUSUN BATUAN 009/002 JAMBEANOM JAMBESARI DARUS SHOLAH BONDOWOSO</v>
      </c>
      <c r="L75" s="16" t="str">
        <f>Sheet1!L99</f>
        <v>Surawi</v>
      </c>
      <c r="M75" s="16" t="str">
        <f>Sheet1!M99</f>
        <v>Hairiyah</v>
      </c>
      <c r="N75" s="16" t="str">
        <f ca="1">Sheet1!N99</f>
        <v>17 Tahun, 4 Bulan, 24 Hari</v>
      </c>
      <c r="O75" s="16"/>
      <c r="P75" s="16"/>
    </row>
    <row r="76" spans="1:16" hidden="1" x14ac:dyDescent="0.25">
      <c r="A76" s="13">
        <f>Sheet1!A100</f>
        <v>99</v>
      </c>
      <c r="B76" s="14">
        <v>16</v>
      </c>
      <c r="C76" s="16">
        <f>Sheet1!C100</f>
        <v>0</v>
      </c>
      <c r="D76" s="14" t="str">
        <f>Sheet1!D100</f>
        <v>2A</v>
      </c>
      <c r="E76" s="14" t="str">
        <f>Sheet1!E100</f>
        <v>Ulya</v>
      </c>
      <c r="F76" s="16">
        <f>Sheet1!F100</f>
        <v>1599</v>
      </c>
      <c r="G76" s="16" t="str">
        <f>Sheet1!G100</f>
        <v>Muhammad Zafil</v>
      </c>
      <c r="H76" s="15" t="str">
        <f>Sheet1!H100</f>
        <v>Bondowoso</v>
      </c>
      <c r="I76" s="17" t="str">
        <f>Sheet1!I100</f>
        <v xml:space="preserve">20 Desember 2006 </v>
      </c>
      <c r="J76" s="14" t="str">
        <f>Sheet1!J100</f>
        <v>B 03</v>
      </c>
      <c r="K76" s="16" t="str">
        <f>Sheet1!K100</f>
        <v>Dusun Krajan, Rt 029/ Rw 006, Jambeanom, Kec.Jambesari Ds, Kab.Bondowoso</v>
      </c>
      <c r="L76" s="16" t="str">
        <f>Sheet1!L100</f>
        <v>Moh. Faozi</v>
      </c>
      <c r="M76" s="16" t="str">
        <f>Sheet1!M100</f>
        <v>Mirnawati</v>
      </c>
      <c r="N76" s="16" t="str">
        <f ca="1">Sheet1!N100</f>
        <v>18 Tahun, 0 Bulan, 1 Hari</v>
      </c>
      <c r="O76" s="16"/>
      <c r="P76" s="16"/>
    </row>
    <row r="77" spans="1:16" hidden="1" x14ac:dyDescent="0.25">
      <c r="A77" s="13">
        <f>Sheet1!A101</f>
        <v>100</v>
      </c>
      <c r="B77" s="14">
        <v>17</v>
      </c>
      <c r="C77" s="16">
        <f>Sheet1!C101</f>
        <v>0</v>
      </c>
      <c r="D77" s="14" t="str">
        <f>Sheet1!D101</f>
        <v>2B</v>
      </c>
      <c r="E77" s="14" t="str">
        <f>Sheet1!E101</f>
        <v>Ulya</v>
      </c>
      <c r="F77" s="16">
        <f>Sheet1!F101</f>
        <v>1555</v>
      </c>
      <c r="G77" s="16" t="str">
        <f>Sheet1!G101</f>
        <v>M. Hakiki</v>
      </c>
      <c r="H77" s="15" t="str">
        <f>Sheet1!H101</f>
        <v>Bondowoso</v>
      </c>
      <c r="I77" s="17" t="str">
        <f>Sheet1!I101</f>
        <v>01 Februari 2006</v>
      </c>
      <c r="J77" s="14" t="str">
        <f>Sheet1!J101</f>
        <v>B 03</v>
      </c>
      <c r="K77" s="16" t="str">
        <f>Sheet1!K101</f>
        <v>Dusun Krajan, Rt 033/ Rw 005, Jambeanom, Kec.Jambesari DS, Kab.Bondowoso</v>
      </c>
      <c r="L77" s="16" t="str">
        <f>Sheet1!L101</f>
        <v>Musta'in Adi</v>
      </c>
      <c r="M77" s="16" t="str">
        <f>Sheet1!M101</f>
        <v>Farida</v>
      </c>
      <c r="N77" s="16" t="str">
        <f ca="1">Sheet1!N101</f>
        <v>18 Tahun, 10 Bulan, 20 Hari</v>
      </c>
      <c r="O77" s="16"/>
      <c r="P77" s="16"/>
    </row>
    <row r="78" spans="1:16" hidden="1" x14ac:dyDescent="0.25">
      <c r="A78" s="13">
        <f>Sheet1!A102</f>
        <v>101</v>
      </c>
      <c r="B78" s="14">
        <v>18</v>
      </c>
      <c r="C78" s="16">
        <f>Sheet1!C102</f>
        <v>0</v>
      </c>
      <c r="D78" s="14">
        <f>Sheet1!D102</f>
        <v>1</v>
      </c>
      <c r="E78" s="14" t="str">
        <f>Sheet1!E102</f>
        <v>Ulya</v>
      </c>
      <c r="F78" s="16">
        <f>Sheet1!F102</f>
        <v>2462</v>
      </c>
      <c r="G78" s="16" t="str">
        <f>Sheet1!G102</f>
        <v>Holidul Khoir</v>
      </c>
      <c r="H78" s="15" t="str">
        <f>Sheet1!H102</f>
        <v>Bondowoso</v>
      </c>
      <c r="I78" s="17" t="str">
        <f>Sheet1!I102</f>
        <v>26 Okt 2005</v>
      </c>
      <c r="J78" s="14" t="str">
        <f>Sheet1!J102</f>
        <v>B 03</v>
      </c>
      <c r="K78" s="16" t="str">
        <f>Sheet1!K102</f>
        <v>sumber kemuning-tamanan-bondowoso</v>
      </c>
      <c r="L78" s="16" t="str">
        <f>Sheet1!L102</f>
        <v>Sanusi</v>
      </c>
      <c r="M78" s="16" t="str">
        <f>Sheet1!M102</f>
        <v>Kholifa</v>
      </c>
      <c r="N78" s="16" t="str">
        <f ca="1">Sheet1!N102</f>
        <v>19 Tahun, 1 Bulan, 25 Hari</v>
      </c>
      <c r="O78" s="16"/>
      <c r="P78" s="16"/>
    </row>
    <row r="79" spans="1:16" hidden="1" x14ac:dyDescent="0.25">
      <c r="A79" s="13">
        <f>Sheet1!A103</f>
        <v>102</v>
      </c>
      <c r="B79" s="14">
        <v>19</v>
      </c>
      <c r="C79" s="16">
        <f>Sheet1!C103</f>
        <v>0</v>
      </c>
      <c r="D79" s="14">
        <f>Sheet1!D103</f>
        <v>1</v>
      </c>
      <c r="E79" s="14" t="str">
        <f>Sheet1!E103</f>
        <v>Ulya</v>
      </c>
      <c r="F79" s="16">
        <f>Sheet1!F103</f>
        <v>2412</v>
      </c>
      <c r="G79" s="16" t="str">
        <f>Sheet1!G103</f>
        <v>Ahmadi</v>
      </c>
      <c r="H79" s="15" t="str">
        <f>Sheet1!H103</f>
        <v>Bondowoso</v>
      </c>
      <c r="I79" s="17">
        <f>Sheet1!I103</f>
        <v>38578</v>
      </c>
      <c r="J79" s="14" t="str">
        <f>Sheet1!J103</f>
        <v>B 03</v>
      </c>
      <c r="K79" s="16" t="str">
        <f>Sheet1!K103</f>
        <v>Jambeanum</v>
      </c>
      <c r="L79" s="16" t="str">
        <f>Sheet1!L103</f>
        <v>Mustakim</v>
      </c>
      <c r="M79" s="16" t="str">
        <f>Sheet1!M103</f>
        <v>Astutik</v>
      </c>
      <c r="N79" s="16" t="str">
        <f ca="1">Sheet1!N103</f>
        <v>19 Tahun, 4 Bulan, 7 Hari</v>
      </c>
      <c r="O79" s="16"/>
      <c r="P79" s="16"/>
    </row>
    <row r="80" spans="1:16" hidden="1" x14ac:dyDescent="0.25">
      <c r="A80" s="13">
        <f>Sheet1!A104</f>
        <v>103</v>
      </c>
      <c r="B80" s="14">
        <v>20</v>
      </c>
      <c r="C80" s="16">
        <f>Sheet1!C104</f>
        <v>0</v>
      </c>
      <c r="D80" s="14" t="str">
        <f>Sheet1!D104</f>
        <v>2A</v>
      </c>
      <c r="E80" s="14" t="str">
        <f>Sheet1!E104</f>
        <v>Ulya</v>
      </c>
      <c r="F80" s="16">
        <f>Sheet1!F104</f>
        <v>1593</v>
      </c>
      <c r="G80" s="16" t="str">
        <f>Sheet1!G104</f>
        <v>Muhammad Rofiqi</v>
      </c>
      <c r="H80" s="15" t="str">
        <f>Sheet1!H104</f>
        <v>Bondowoso</v>
      </c>
      <c r="I80" s="17">
        <f>Sheet1!I104</f>
        <v>38252</v>
      </c>
      <c r="J80" s="14" t="str">
        <f>Sheet1!J104</f>
        <v>B 03</v>
      </c>
      <c r="K80" s="16" t="str">
        <f>Sheet1!K104</f>
        <v xml:space="preserve">Kalianyar Tamanan Bondowoso, , , , </v>
      </c>
      <c r="L80" s="16" t="str">
        <f>Sheet1!L104</f>
        <v>Hermanto</v>
      </c>
      <c r="M80" s="16" t="str">
        <f>Sheet1!M104</f>
        <v>Tut Syafi'iyah</v>
      </c>
      <c r="N80" s="16" t="str">
        <f ca="1">Sheet1!N104</f>
        <v>20 Tahun, 2 Bulan, 29 Hari</v>
      </c>
      <c r="O80" s="16"/>
      <c r="P80" s="16"/>
    </row>
    <row r="81" spans="1:16" hidden="1" x14ac:dyDescent="0.25">
      <c r="A81" s="13">
        <f>Sheet1!A105</f>
        <v>104</v>
      </c>
      <c r="B81" s="14">
        <v>21</v>
      </c>
      <c r="C81" s="16">
        <f>Sheet1!C105</f>
        <v>0</v>
      </c>
      <c r="D81" s="14" t="str">
        <f>Sheet1!D105</f>
        <v>2C</v>
      </c>
      <c r="E81" s="14" t="str">
        <f>Sheet1!E105</f>
        <v>Ulya</v>
      </c>
      <c r="F81" s="16">
        <f>Sheet1!F105</f>
        <v>1538</v>
      </c>
      <c r="G81" s="16" t="str">
        <f>Sheet1!G105</f>
        <v>Fauzen Amin</v>
      </c>
      <c r="H81" s="15" t="str">
        <f>Sheet1!H105</f>
        <v>Bondowoso</v>
      </c>
      <c r="I81" s="17" t="str">
        <f>Sheet1!I105</f>
        <v>23 Februari 2004</v>
      </c>
      <c r="J81" s="14" t="str">
        <f>Sheet1!J105</f>
        <v>B 03</v>
      </c>
      <c r="K81" s="16" t="str">
        <f>Sheet1!K105</f>
        <v>Desa Patemon, Rt 001/Rw 004, , Kec. Tlogosari, Kab. Bondowoso</v>
      </c>
      <c r="L81" s="16" t="str">
        <f>Sheet1!L105</f>
        <v>Mahfud</v>
      </c>
      <c r="M81" s="16" t="str">
        <f>Sheet1!M105</f>
        <v>Elok Soraya</v>
      </c>
      <c r="N81" s="16" t="str">
        <f ca="1">Sheet1!N105</f>
        <v>20 Tahun, 9 Bulan, 28 Hari</v>
      </c>
      <c r="O81" s="16"/>
      <c r="P81" s="16"/>
    </row>
    <row r="82" spans="1:16" hidden="1" x14ac:dyDescent="0.25">
      <c r="A82" s="13">
        <f>Sheet1!A106</f>
        <v>105</v>
      </c>
      <c r="B82" s="14">
        <v>22</v>
      </c>
      <c r="C82" s="16" t="str">
        <f>Sheet1!C106</f>
        <v>3 SMA</v>
      </c>
      <c r="D82" s="14" t="str">
        <f>Sheet1!D106</f>
        <v>3D</v>
      </c>
      <c r="E82" s="14" t="str">
        <f>Sheet1!E106</f>
        <v>Wustha</v>
      </c>
      <c r="F82" s="16">
        <f>Sheet1!F106</f>
        <v>2806</v>
      </c>
      <c r="G82" s="16" t="str">
        <f>Sheet1!G106</f>
        <v>Syafik Hariri</v>
      </c>
      <c r="H82" s="15" t="str">
        <f>Sheet1!H106</f>
        <v>Bondowoso</v>
      </c>
      <c r="I82" s="17">
        <f>Sheet1!I106</f>
        <v>39105</v>
      </c>
      <c r="J82" s="14" t="str">
        <f>Sheet1!J106</f>
        <v>B 03</v>
      </c>
      <c r="K82" s="16" t="str">
        <f>Sheet1!K106</f>
        <v>Jambeanom-Jambesari DS-Bondowoso</v>
      </c>
      <c r="L82" s="16" t="str">
        <f>Sheet1!L106</f>
        <v>Alimudin</v>
      </c>
      <c r="M82" s="16" t="str">
        <f>Sheet1!M106</f>
        <v xml:space="preserve">Im Hasanah </v>
      </c>
      <c r="N82" s="16" t="str">
        <f ca="1">Sheet1!N106</f>
        <v>17 Tahun, 10 Bulan, 28 Hari</v>
      </c>
      <c r="O82" s="16"/>
      <c r="P82" s="16"/>
    </row>
    <row r="83" spans="1:16" hidden="1" x14ac:dyDescent="0.25">
      <c r="A83" s="13">
        <f>Sheet1!A107</f>
        <v>106</v>
      </c>
      <c r="B83" s="14">
        <v>23</v>
      </c>
      <c r="C83" s="16" t="str">
        <f>Sheet1!C107</f>
        <v>2 SMA</v>
      </c>
      <c r="D83" s="14" t="str">
        <f>Sheet1!D107</f>
        <v>3A</v>
      </c>
      <c r="E83" s="14" t="str">
        <f>Sheet1!E107</f>
        <v>Wustha</v>
      </c>
      <c r="F83" s="16">
        <f>Sheet1!F107</f>
        <v>2749</v>
      </c>
      <c r="G83" s="16" t="str">
        <f>Sheet1!G107</f>
        <v xml:space="preserve">Ahmad Naufal </v>
      </c>
      <c r="H83" s="15" t="str">
        <f>Sheet1!H107</f>
        <v>Bondowoso</v>
      </c>
      <c r="I83" s="17">
        <f>Sheet1!I107</f>
        <v>39203</v>
      </c>
      <c r="J83" s="14" t="str">
        <f>Sheet1!J107</f>
        <v>B 03</v>
      </c>
      <c r="K83" s="16" t="str">
        <f>Sheet1!K107</f>
        <v>Jambeanom-Jambesari DS-Bondowoso</v>
      </c>
      <c r="L83" s="16" t="str">
        <f>Sheet1!L107</f>
        <v>Hairul</v>
      </c>
      <c r="M83" s="16" t="str">
        <f>Sheet1!M107</f>
        <v>Faikatul Jannah</v>
      </c>
      <c r="N83" s="16" t="str">
        <f ca="1">Sheet1!N107</f>
        <v>17 Tahun, 7 Bulan, 20 Hari</v>
      </c>
      <c r="O83" s="16"/>
      <c r="P83" s="16"/>
    </row>
    <row r="84" spans="1:16" hidden="1" x14ac:dyDescent="0.25">
      <c r="A84" s="13">
        <f>Sheet1!A108</f>
        <v>107</v>
      </c>
      <c r="B84" s="14">
        <v>24</v>
      </c>
      <c r="C84" s="16" t="str">
        <f>Sheet1!C108</f>
        <v>2 SMA</v>
      </c>
      <c r="D84" s="14" t="str">
        <f>Sheet1!D108</f>
        <v>3A</v>
      </c>
      <c r="E84" s="14" t="str">
        <f>Sheet1!E108</f>
        <v>Wustha</v>
      </c>
      <c r="F84" s="16">
        <f>Sheet1!F108</f>
        <v>2502</v>
      </c>
      <c r="G84" s="16" t="str">
        <f>Sheet1!G108</f>
        <v>Mudesser</v>
      </c>
      <c r="H84" s="15" t="str">
        <f>Sheet1!H108</f>
        <v>Bondowoso</v>
      </c>
      <c r="I84" s="17">
        <f>Sheet1!I108</f>
        <v>38852</v>
      </c>
      <c r="J84" s="14" t="str">
        <f>Sheet1!J108</f>
        <v>B 03</v>
      </c>
      <c r="K84" s="16" t="str">
        <f>Sheet1!K108</f>
        <v>Jambeanum Rt.25/Rw.05 Jambesari Ds Bondowoso</v>
      </c>
      <c r="L84" s="16" t="str">
        <f>Sheet1!L108</f>
        <v>Muklis</v>
      </c>
      <c r="M84" s="16" t="str">
        <f>Sheet1!M108</f>
        <v>Rizky Khoiriyah</v>
      </c>
      <c r="N84" s="16" t="str">
        <f ca="1">Sheet1!N108</f>
        <v>18 Tahun, 7 Bulan, 6 Hari</v>
      </c>
      <c r="O84" s="16"/>
      <c r="P84" s="16"/>
    </row>
    <row r="85" spans="1:16" hidden="1" x14ac:dyDescent="0.25">
      <c r="A85" s="13">
        <f>Sheet1!A109</f>
        <v>108</v>
      </c>
      <c r="B85" s="14">
        <v>25</v>
      </c>
      <c r="C85" s="16">
        <f>Sheet1!C109</f>
        <v>0</v>
      </c>
      <c r="D85" s="14">
        <f>Sheet1!D109</f>
        <v>1</v>
      </c>
      <c r="E85" s="14" t="str">
        <f>Sheet1!E109</f>
        <v>Ulya</v>
      </c>
      <c r="F85" s="16">
        <f>Sheet1!F109</f>
        <v>2907</v>
      </c>
      <c r="G85" s="16" t="str">
        <f>Sheet1!G109</f>
        <v>Muhammad Nauval Hadi</v>
      </c>
      <c r="H85" s="15" t="str">
        <f>Sheet1!H109</f>
        <v>Bondowoso</v>
      </c>
      <c r="I85" s="17" t="str">
        <f>Sheet1!I109</f>
        <v>27/01/2007</v>
      </c>
      <c r="J85" s="14" t="str">
        <f>Sheet1!J109</f>
        <v>B 04</v>
      </c>
      <c r="K85" s="16" t="str">
        <f>Sheet1!K109</f>
        <v>Randu Cangkring-pujer-bondowoso</v>
      </c>
      <c r="L85" s="16" t="str">
        <f>Sheet1!L109</f>
        <v>Miskadi</v>
      </c>
      <c r="M85" s="16" t="str">
        <f>Sheet1!M109</f>
        <v>Basriati</v>
      </c>
      <c r="N85" s="16" t="str">
        <f ca="1">Sheet1!N109</f>
        <v>17 Tahun, 10 Bulan, 24 Hari</v>
      </c>
      <c r="O85" s="16"/>
      <c r="P85" s="16"/>
    </row>
    <row r="86" spans="1:16" hidden="1" x14ac:dyDescent="0.25">
      <c r="A86" s="13">
        <f>Sheet1!A110</f>
        <v>109</v>
      </c>
      <c r="B86" s="14">
        <v>26</v>
      </c>
      <c r="C86" s="16" t="str">
        <f>Sheet1!C110</f>
        <v>STAI</v>
      </c>
      <c r="D86" s="14" t="str">
        <f>Sheet1!D110</f>
        <v>3C</v>
      </c>
      <c r="E86" s="14" t="str">
        <f>Sheet1!E110</f>
        <v>Wustha</v>
      </c>
      <c r="F86" s="16">
        <f>Sheet1!F110</f>
        <v>2868</v>
      </c>
      <c r="G86" s="16" t="str">
        <f>Sheet1!G110</f>
        <v>M. Hidayat</v>
      </c>
      <c r="H86" s="15" t="str">
        <f>Sheet1!H110</f>
        <v>Bondowoso</v>
      </c>
      <c r="I86" s="17">
        <f>Sheet1!I110</f>
        <v>38571</v>
      </c>
      <c r="J86" s="14" t="str">
        <f>Sheet1!J110</f>
        <v>B 04</v>
      </c>
      <c r="K86" s="16" t="str">
        <f>Sheet1!K110</f>
        <v>Sukowono-Pujer-Bondowoso</v>
      </c>
      <c r="L86" s="16" t="str">
        <f>Sheet1!L110</f>
        <v>Surahmat</v>
      </c>
      <c r="M86" s="16" t="str">
        <f>Sheet1!M110</f>
        <v>Halimah</v>
      </c>
      <c r="N86" s="16" t="str">
        <f ca="1">Sheet1!N110</f>
        <v>19 Tahun, 4 Bulan, 14 Hari</v>
      </c>
      <c r="O86" s="16"/>
      <c r="P86" s="16"/>
    </row>
    <row r="87" spans="1:16" hidden="1" x14ac:dyDescent="0.25">
      <c r="A87" s="13">
        <f>Sheet1!A111</f>
        <v>110</v>
      </c>
      <c r="B87" s="14">
        <v>27</v>
      </c>
      <c r="C87" s="16" t="str">
        <f>Sheet1!C111</f>
        <v>STAI</v>
      </c>
      <c r="D87" s="14" t="str">
        <f>Sheet1!D111</f>
        <v>2B</v>
      </c>
      <c r="E87" s="14" t="str">
        <f>Sheet1!E111</f>
        <v>Wustha</v>
      </c>
      <c r="F87" s="16">
        <f>Sheet1!F111</f>
        <v>2866</v>
      </c>
      <c r="G87" s="16" t="str">
        <f>Sheet1!G111</f>
        <v>M. Ali Ghufron</v>
      </c>
      <c r="H87" s="15" t="str">
        <f>Sheet1!H111</f>
        <v>Bondowoso</v>
      </c>
      <c r="I87" s="17">
        <f>Sheet1!I111</f>
        <v>37697</v>
      </c>
      <c r="J87" s="14" t="str">
        <f>Sheet1!J111</f>
        <v>B 04</v>
      </c>
      <c r="K87" s="16" t="str">
        <f>Sheet1!K111</f>
        <v>Sukowono-Pujer-Bondowoso</v>
      </c>
      <c r="L87" s="16" t="str">
        <f>Sheet1!L111</f>
        <v>Djatim Ariadi Santoso Kusumo</v>
      </c>
      <c r="M87" s="16" t="str">
        <f>Sheet1!M111</f>
        <v>Siti Rukmini Rukayah</v>
      </c>
      <c r="N87" s="16" t="str">
        <f ca="1">Sheet1!N111</f>
        <v>21 Tahun, 9 Bulan, 4 Hari</v>
      </c>
      <c r="O87" s="16"/>
      <c r="P87" s="16"/>
    </row>
    <row r="88" spans="1:16" hidden="1" x14ac:dyDescent="0.25">
      <c r="A88" s="13">
        <f>Sheet1!A112</f>
        <v>111</v>
      </c>
      <c r="B88" s="14">
        <v>28</v>
      </c>
      <c r="C88" s="16">
        <f>Sheet1!C112</f>
        <v>0</v>
      </c>
      <c r="D88" s="14">
        <f>Sheet1!D112</f>
        <v>1</v>
      </c>
      <c r="E88" s="14" t="str">
        <f>Sheet1!E112</f>
        <v>Ulya</v>
      </c>
      <c r="F88" s="16">
        <f>Sheet1!F112</f>
        <v>2536</v>
      </c>
      <c r="G88" s="16" t="str">
        <f>Sheet1!G112</f>
        <v>Moch. Mahfudz Sholeh</v>
      </c>
      <c r="H88" s="15" t="str">
        <f>Sheet1!H112</f>
        <v>Bondowoso</v>
      </c>
      <c r="I88" s="17" t="str">
        <f>Sheet1!I112</f>
        <v>17 Mei 2005</v>
      </c>
      <c r="J88" s="14" t="str">
        <f>Sheet1!J112</f>
        <v>B 05</v>
      </c>
      <c r="K88" s="16" t="str">
        <f>Sheet1!K112</f>
        <v>KEMBANG</v>
      </c>
      <c r="L88" s="16" t="str">
        <f>Sheet1!L112</f>
        <v>Fathorrasi</v>
      </c>
      <c r="M88" s="16" t="str">
        <f>Sheet1!M112</f>
        <v>Rusyana</v>
      </c>
      <c r="N88" s="16" t="str">
        <f ca="1">Sheet1!N112</f>
        <v>19 Tahun, 7 Bulan, 4 Hari</v>
      </c>
      <c r="O88" s="16"/>
      <c r="P88" s="16"/>
    </row>
    <row r="89" spans="1:16" hidden="1" x14ac:dyDescent="0.25">
      <c r="A89" s="13">
        <f>Sheet1!A113</f>
        <v>112</v>
      </c>
      <c r="B89" s="14">
        <v>29</v>
      </c>
      <c r="C89" s="16">
        <f>Sheet1!C113</f>
        <v>0</v>
      </c>
      <c r="D89" s="14">
        <f>Sheet1!D113</f>
        <v>1</v>
      </c>
      <c r="E89" s="14" t="str">
        <f>Sheet1!E113</f>
        <v>Ulya</v>
      </c>
      <c r="F89" s="16">
        <f>Sheet1!F113</f>
        <v>2538</v>
      </c>
      <c r="G89" s="16" t="str">
        <f>Sheet1!G113</f>
        <v>Muhammad Ilhaqus Sholeh</v>
      </c>
      <c r="H89" s="15" t="str">
        <f>Sheet1!H113</f>
        <v>Bondowoso</v>
      </c>
      <c r="I89" s="17" t="str">
        <f>Sheet1!I113</f>
        <v>6 April 2005</v>
      </c>
      <c r="J89" s="14" t="str">
        <f>Sheet1!J113</f>
        <v>B 05</v>
      </c>
      <c r="K89" s="16" t="str">
        <f>Sheet1!K113</f>
        <v>PANGGANG</v>
      </c>
      <c r="L89" s="16" t="str">
        <f>Sheet1!L113</f>
        <v>Moh. Baharudin</v>
      </c>
      <c r="M89" s="16" t="str">
        <f>Sheet1!M113</f>
        <v>Rahmawati</v>
      </c>
      <c r="N89" s="16" t="str">
        <f ca="1">Sheet1!N113</f>
        <v>19 Tahun, 8 Bulan, 15 Hari</v>
      </c>
      <c r="O89" s="16"/>
      <c r="P89" s="16"/>
    </row>
    <row r="90" spans="1:16" hidden="1" x14ac:dyDescent="0.25">
      <c r="A90" s="13">
        <f>Sheet1!A114</f>
        <v>113</v>
      </c>
      <c r="B90" s="14">
        <v>30</v>
      </c>
      <c r="C90" s="16">
        <f>Sheet1!C114</f>
        <v>0</v>
      </c>
      <c r="D90" s="14">
        <f>Sheet1!D114</f>
        <v>1</v>
      </c>
      <c r="E90" s="14" t="str">
        <f>Sheet1!E114</f>
        <v>Ulya</v>
      </c>
      <c r="F90" s="16">
        <f>Sheet1!F114</f>
        <v>2532</v>
      </c>
      <c r="G90" s="16" t="str">
        <f>Sheet1!G114</f>
        <v>Bahrul Ulum</v>
      </c>
      <c r="H90" s="15" t="str">
        <f>Sheet1!H114</f>
        <v>Bondowoso</v>
      </c>
      <c r="I90" s="17" t="str">
        <f>Sheet1!I114</f>
        <v>06 Juni 2004</v>
      </c>
      <c r="J90" s="14" t="str">
        <f>Sheet1!J114</f>
        <v>B 05</v>
      </c>
      <c r="K90" s="16" t="str">
        <f>Sheet1!K114</f>
        <v>KEMBANG</v>
      </c>
      <c r="L90" s="16" t="str">
        <f>Sheet1!L114</f>
        <v>Abd. Basid</v>
      </c>
      <c r="M90" s="16" t="str">
        <f>Sheet1!M114</f>
        <v>Nur Hasanah</v>
      </c>
      <c r="N90" s="16" t="str">
        <f ca="1">Sheet1!N114</f>
        <v>20 Tahun, 6 Bulan, 15 Hari</v>
      </c>
      <c r="O90" s="16"/>
      <c r="P90" s="16"/>
    </row>
    <row r="91" spans="1:16" hidden="1" x14ac:dyDescent="0.25">
      <c r="A91" s="13">
        <f>Sheet1!A115</f>
        <v>114</v>
      </c>
      <c r="B91" s="14">
        <v>31</v>
      </c>
      <c r="C91" s="16">
        <f>Sheet1!C115</f>
        <v>0</v>
      </c>
      <c r="D91" s="14" t="str">
        <f>Sheet1!D115</f>
        <v>3A</v>
      </c>
      <c r="E91" s="14" t="str">
        <f>Sheet1!E115</f>
        <v>Wustha</v>
      </c>
      <c r="F91" s="16">
        <f>Sheet1!F115</f>
        <v>2881</v>
      </c>
      <c r="G91" s="16" t="str">
        <f>Sheet1!G115</f>
        <v>Muhammad Amrullah</v>
      </c>
      <c r="H91" s="15" t="str">
        <f>Sheet1!H115</f>
        <v>Bondowoso</v>
      </c>
      <c r="I91" s="17">
        <f>Sheet1!I115</f>
        <v>38216</v>
      </c>
      <c r="J91" s="14" t="str">
        <f>Sheet1!J115</f>
        <v>B 05</v>
      </c>
      <c r="K91" s="16" t="str">
        <f>Sheet1!K115</f>
        <v>Tlogosari-Tlogosari-Bondowoso</v>
      </c>
      <c r="L91" s="16" t="str">
        <f>Sheet1!L115</f>
        <v>Fathorrasi</v>
      </c>
      <c r="M91" s="16">
        <f>Sheet1!M115</f>
        <v>0</v>
      </c>
      <c r="N91" s="16" t="str">
        <f ca="1">Sheet1!N115</f>
        <v>20 Tahun, 4 Bulan, 4 Hari</v>
      </c>
      <c r="O91" s="16"/>
      <c r="P91" s="16"/>
    </row>
    <row r="92" spans="1:16" hidden="1" x14ac:dyDescent="0.25">
      <c r="A92" s="13">
        <f>Sheet1!A116</f>
        <v>115</v>
      </c>
      <c r="B92" s="14">
        <v>32</v>
      </c>
      <c r="C92" s="16" t="str">
        <f>Sheet1!C116</f>
        <v>STAI</v>
      </c>
      <c r="D92" s="14" t="str">
        <f>Sheet1!D116</f>
        <v>3C</v>
      </c>
      <c r="E92" s="14" t="str">
        <f>Sheet1!E116</f>
        <v>Wustha</v>
      </c>
      <c r="F92" s="16">
        <f>Sheet1!F116</f>
        <v>3496</v>
      </c>
      <c r="G92" s="16" t="str">
        <f>Sheet1!G116</f>
        <v>Muhammad Ali Gufron</v>
      </c>
      <c r="H92" s="15" t="str">
        <f>Sheet1!H116</f>
        <v>Bondowoso</v>
      </c>
      <c r="I92" s="17" t="str">
        <f>Sheet1!I116</f>
        <v>19 Juli 2004</v>
      </c>
      <c r="J92" s="14" t="str">
        <f>Sheet1!J116</f>
        <v>B 05</v>
      </c>
      <c r="K92" s="16" t="str">
        <f>Sheet1!K116</f>
        <v>Pengarang 14/03 Jambesari DS-bondowoso</v>
      </c>
      <c r="L92" s="16" t="str">
        <f>Sheet1!L116</f>
        <v>Supriadi</v>
      </c>
      <c r="M92" s="16" t="str">
        <f>Sheet1!M116</f>
        <v>Rodiyah</v>
      </c>
      <c r="N92" s="16" t="str">
        <f ca="1">Sheet1!N116</f>
        <v>20 Tahun, 5 Bulan, 2 Hari</v>
      </c>
      <c r="O92" s="16"/>
      <c r="P92" s="16"/>
    </row>
    <row r="93" spans="1:16" hidden="1" x14ac:dyDescent="0.25">
      <c r="A93" s="13">
        <f>Sheet1!A117</f>
        <v>116</v>
      </c>
      <c r="B93" s="14">
        <v>33</v>
      </c>
      <c r="C93" s="16">
        <f>Sheet1!C117</f>
        <v>0</v>
      </c>
      <c r="D93" s="14" t="str">
        <f>Sheet1!D117</f>
        <v>2A</v>
      </c>
      <c r="E93" s="14" t="str">
        <f>Sheet1!E117</f>
        <v>Ulya</v>
      </c>
      <c r="F93" s="16">
        <f>Sheet1!F117</f>
        <v>1516</v>
      </c>
      <c r="G93" s="16" t="str">
        <f>Sheet1!G117</f>
        <v>Abdul Latip</v>
      </c>
      <c r="H93" s="15" t="str">
        <f>Sheet1!H117</f>
        <v>Bondowoso</v>
      </c>
      <c r="I93" s="17" t="str">
        <f>Sheet1!I117</f>
        <v>18 Juni 2007</v>
      </c>
      <c r="J93" s="14" t="str">
        <f>Sheet1!J117</f>
        <v>B 06</v>
      </c>
      <c r="K93" s="16" t="str">
        <f>Sheet1!K117</f>
        <v>Mengok, 026/004, , kec.Pujer, Kab.Bondowoso</v>
      </c>
      <c r="L93" s="16" t="str">
        <f>Sheet1!L117</f>
        <v>Muhammad Lutfi</v>
      </c>
      <c r="M93" s="16">
        <f>Sheet1!M117</f>
        <v>0</v>
      </c>
      <c r="N93" s="16" t="str">
        <f ca="1">Sheet1!N117</f>
        <v>17 Tahun, 6 Bulan, 3 Hari</v>
      </c>
      <c r="O93" s="16"/>
      <c r="P93" s="16"/>
    </row>
    <row r="94" spans="1:16" hidden="1" x14ac:dyDescent="0.25">
      <c r="A94" s="13">
        <f>Sheet1!A118</f>
        <v>117</v>
      </c>
      <c r="B94" s="14">
        <v>34</v>
      </c>
      <c r="C94" s="16">
        <f>Sheet1!C118</f>
        <v>0</v>
      </c>
      <c r="D94" s="14">
        <f>Sheet1!D118</f>
        <v>1</v>
      </c>
      <c r="E94" s="14" t="str">
        <f>Sheet1!E118</f>
        <v>Ulya</v>
      </c>
      <c r="F94" s="16">
        <f>Sheet1!F118</f>
        <v>2115</v>
      </c>
      <c r="G94" s="16" t="str">
        <f>Sheet1!G118</f>
        <v>Zulfikri</v>
      </c>
      <c r="H94" s="15" t="str">
        <f>Sheet1!H118</f>
        <v>Bondowoso</v>
      </c>
      <c r="I94" s="17" t="str">
        <f>Sheet1!I118</f>
        <v>26 November 2004</v>
      </c>
      <c r="J94" s="14" t="str">
        <f>Sheet1!J118</f>
        <v>B 06</v>
      </c>
      <c r="K94" s="16" t="str">
        <f>Sheet1!K118</f>
        <v>Tlogosari-tlogosari-bondowoso</v>
      </c>
      <c r="L94" s="16" t="str">
        <f>Sheet1!L118</f>
        <v>WAHYUDI</v>
      </c>
      <c r="M94" s="16" t="str">
        <f>Sheet1!M118</f>
        <v>Susilowati</v>
      </c>
      <c r="N94" s="16" t="str">
        <f ca="1">Sheet1!N118</f>
        <v>20 Tahun, 0 Bulan, 25 Hari</v>
      </c>
      <c r="O94" s="16"/>
      <c r="P94" s="16"/>
    </row>
    <row r="95" spans="1:16" hidden="1" x14ac:dyDescent="0.25">
      <c r="A95" s="13">
        <f>Sheet1!A119</f>
        <v>118</v>
      </c>
      <c r="B95" s="14">
        <v>35</v>
      </c>
      <c r="C95" s="16">
        <f>Sheet1!C119</f>
        <v>0</v>
      </c>
      <c r="D95" s="14" t="str">
        <f>Sheet1!D119</f>
        <v>2B</v>
      </c>
      <c r="E95" s="14" t="str">
        <f>Sheet1!E119</f>
        <v>Ulya</v>
      </c>
      <c r="F95" s="16">
        <f>Sheet1!F119</f>
        <v>1591</v>
      </c>
      <c r="G95" s="16" t="str">
        <f>Sheet1!G119</f>
        <v>Muhammad Nailul Amani</v>
      </c>
      <c r="H95" s="15" t="str">
        <f>Sheet1!H119</f>
        <v>Bondowoso</v>
      </c>
      <c r="I95" s="17">
        <f>Sheet1!I119</f>
        <v>38481</v>
      </c>
      <c r="J95" s="14" t="str">
        <f>Sheet1!J119</f>
        <v>B 06</v>
      </c>
      <c r="K95" s="16" t="str">
        <f>Sheet1!K119</f>
        <v>Sukodono, Rt 004/Rw 002, , Kec. Pujer, Kab. Bondowoso</v>
      </c>
      <c r="L95" s="16" t="str">
        <f>Sheet1!L119</f>
        <v>Miskadi</v>
      </c>
      <c r="M95" s="16" t="str">
        <f>Sheet1!M119</f>
        <v>Basriati</v>
      </c>
      <c r="N95" s="16" t="str">
        <f ca="1">Sheet1!N119</f>
        <v>19 Tahun, 7 Bulan, 12 Hari</v>
      </c>
      <c r="O95" s="16"/>
      <c r="P95" s="16"/>
    </row>
    <row r="96" spans="1:16" hidden="1" x14ac:dyDescent="0.25">
      <c r="A96" s="13">
        <f>Sheet1!A120</f>
        <v>119</v>
      </c>
      <c r="B96" s="14">
        <v>36</v>
      </c>
      <c r="C96" s="16">
        <f>Sheet1!C120</f>
        <v>0</v>
      </c>
      <c r="D96" s="14" t="str">
        <f>Sheet1!D120</f>
        <v>2C</v>
      </c>
      <c r="E96" s="14" t="str">
        <f>Sheet1!E120</f>
        <v>Ulya</v>
      </c>
      <c r="F96" s="16">
        <f>Sheet1!F120</f>
        <v>1568</v>
      </c>
      <c r="G96" s="16" t="str">
        <f>Sheet1!G120</f>
        <v>Mohammad Warisandi</v>
      </c>
      <c r="H96" s="15" t="str">
        <f>Sheet1!H120</f>
        <v>Bondowoso</v>
      </c>
      <c r="I96" s="17" t="str">
        <f>Sheet1!I120</f>
        <v>09 November 2003</v>
      </c>
      <c r="J96" s="14" t="str">
        <f>Sheet1!J120</f>
        <v>B 06</v>
      </c>
      <c r="K96" s="16" t="str">
        <f>Sheet1!K120</f>
        <v xml:space="preserve">Desa Sukodono, Rt 006/ Rw 003, Kec.Pujer, Kab.Bondowoso, </v>
      </c>
      <c r="L96" s="16" t="str">
        <f>Sheet1!L120</f>
        <v>Siriyanto</v>
      </c>
      <c r="M96" s="16" t="str">
        <f>Sheet1!M120</f>
        <v>Pusimawati</v>
      </c>
      <c r="N96" s="16" t="str">
        <f ca="1">Sheet1!N120</f>
        <v>21 Tahun, 1 Bulan, 12 Hari</v>
      </c>
      <c r="O96" s="16"/>
      <c r="P96" s="16"/>
    </row>
    <row r="97" spans="1:16" hidden="1" x14ac:dyDescent="0.25">
      <c r="A97" s="13">
        <f>Sheet1!A121</f>
        <v>120</v>
      </c>
      <c r="B97" s="14">
        <v>37</v>
      </c>
      <c r="C97" s="16">
        <f>Sheet1!C121</f>
        <v>0</v>
      </c>
      <c r="D97" s="14" t="str">
        <f>Sheet1!D121</f>
        <v>1A</v>
      </c>
      <c r="E97" s="14" t="str">
        <f>Sheet1!E121</f>
        <v>Wustha</v>
      </c>
      <c r="F97" s="16">
        <f>Sheet1!F121</f>
        <v>3633</v>
      </c>
      <c r="G97" s="16" t="str">
        <f>Sheet1!G121</f>
        <v>Kafil</v>
      </c>
      <c r="H97" s="15" t="str">
        <f>Sheet1!H121</f>
        <v>Bondowoso</v>
      </c>
      <c r="I97" s="17">
        <f>Sheet1!I121</f>
        <v>39396</v>
      </c>
      <c r="J97" s="14" t="str">
        <f>Sheet1!J121</f>
        <v>B 06</v>
      </c>
      <c r="K97" s="16" t="str">
        <f>Sheet1!K121</f>
        <v>Sukowono 001/001 -Pujer-Bondowoso</v>
      </c>
      <c r="L97" s="16" t="str">
        <f>Sheet1!L121</f>
        <v>Asmuni</v>
      </c>
      <c r="M97" s="16" t="str">
        <f>Sheet1!M121</f>
        <v>Sittina</v>
      </c>
      <c r="N97" s="16" t="str">
        <f ca="1">Sheet1!N121</f>
        <v>17 Tahun, 1 Bulan, 11 Hari</v>
      </c>
      <c r="O97" s="16"/>
      <c r="P97" s="16"/>
    </row>
    <row r="98" spans="1:16" hidden="1" x14ac:dyDescent="0.25">
      <c r="A98" s="13">
        <f>Sheet1!A122</f>
        <v>121</v>
      </c>
      <c r="B98" s="14">
        <v>38</v>
      </c>
      <c r="C98" s="16">
        <f>Sheet1!C122</f>
        <v>0</v>
      </c>
      <c r="D98" s="14" t="str">
        <f>Sheet1!D122</f>
        <v>1A</v>
      </c>
      <c r="E98" s="14" t="str">
        <f>Sheet1!E122</f>
        <v>Wustha</v>
      </c>
      <c r="F98" s="16">
        <f>Sheet1!F122</f>
        <v>3628</v>
      </c>
      <c r="G98" s="16" t="str">
        <f>Sheet1!G122</f>
        <v>Muhammad Iqbal Firdaus</v>
      </c>
      <c r="H98" s="15" t="str">
        <f>Sheet1!H122</f>
        <v>Bondowoso</v>
      </c>
      <c r="I98" s="17">
        <f>Sheet1!I122</f>
        <v>39394</v>
      </c>
      <c r="J98" s="14" t="str">
        <f>Sheet1!J122</f>
        <v>B 06</v>
      </c>
      <c r="K98" s="16" t="str">
        <f>Sheet1!K122</f>
        <v>Sukodono 03/02 Sukodono Pujer Bondowoso</v>
      </c>
      <c r="L98" s="16" t="str">
        <f>Sheet1!L122</f>
        <v>Nursidi</v>
      </c>
      <c r="M98" s="16" t="str">
        <f>Sheet1!M122</f>
        <v>Niseh Yanti</v>
      </c>
      <c r="N98" s="16" t="str">
        <f ca="1">Sheet1!N122</f>
        <v>17 Tahun, 1 Bulan, 13 Hari</v>
      </c>
      <c r="O98" s="16"/>
      <c r="P98" s="16"/>
    </row>
    <row r="99" spans="1:16" hidden="1" x14ac:dyDescent="0.25">
      <c r="A99" s="13">
        <f>Sheet1!A123</f>
        <v>122</v>
      </c>
      <c r="B99" s="14">
        <v>39</v>
      </c>
      <c r="C99" s="16">
        <f>Sheet1!C123</f>
        <v>0</v>
      </c>
      <c r="D99" s="14" t="str">
        <f>Sheet1!D123</f>
        <v>3B</v>
      </c>
      <c r="E99" s="14" t="str">
        <f>Sheet1!E123</f>
        <v>Wustha</v>
      </c>
      <c r="F99" s="16">
        <f>Sheet1!F123</f>
        <v>2829</v>
      </c>
      <c r="G99" s="16" t="str">
        <f>Sheet1!G123</f>
        <v>Sefril Hidayat</v>
      </c>
      <c r="H99" s="15" t="str">
        <f>Sheet1!H123</f>
        <v>Bondowoso</v>
      </c>
      <c r="I99" s="17">
        <f>Sheet1!I123</f>
        <v>39225</v>
      </c>
      <c r="J99" s="14" t="str">
        <f>Sheet1!J123</f>
        <v>B 06</v>
      </c>
      <c r="K99" s="16" t="str">
        <f>Sheet1!K123</f>
        <v>Sukodono-Pujer-bondowoso</v>
      </c>
      <c r="L99" s="16" t="str">
        <f>Sheet1!L123</f>
        <v>Hafid Muhsin</v>
      </c>
      <c r="M99" s="16" t="str">
        <f>Sheet1!M123</f>
        <v>Marwiyah</v>
      </c>
      <c r="N99" s="16" t="str">
        <f ca="1">Sheet1!N123</f>
        <v>17 Tahun, 6 Bulan, 28 Hari</v>
      </c>
      <c r="O99" s="16"/>
      <c r="P99" s="16"/>
    </row>
    <row r="100" spans="1:16" hidden="1" x14ac:dyDescent="0.25">
      <c r="A100" s="13">
        <f>Sheet1!A124</f>
        <v>123</v>
      </c>
      <c r="B100" s="14">
        <v>40</v>
      </c>
      <c r="C100" s="16" t="str">
        <f>Sheet1!C124</f>
        <v>STAI</v>
      </c>
      <c r="D100" s="14" t="str">
        <f>Sheet1!D124</f>
        <v>3A</v>
      </c>
      <c r="E100" s="14" t="str">
        <f>Sheet1!E124</f>
        <v>Wustha</v>
      </c>
      <c r="F100" s="16">
        <f>Sheet1!F124</f>
        <v>2545</v>
      </c>
      <c r="G100" s="16" t="str">
        <f>Sheet1!G124</f>
        <v>Moch. Fa'izud Darin</v>
      </c>
      <c r="H100" s="15" t="str">
        <f>Sheet1!H124</f>
        <v>Bondowoso</v>
      </c>
      <c r="I100" s="17" t="str">
        <f>Sheet1!I124</f>
        <v>11 Maret 2006</v>
      </c>
      <c r="J100" s="14" t="str">
        <f>Sheet1!J124</f>
        <v>B 06</v>
      </c>
      <c r="K100" s="16" t="str">
        <f>Sheet1!K124</f>
        <v>Sukodono Rt 003/Rw 002 Pujer Bondowoso</v>
      </c>
      <c r="L100" s="16" t="str">
        <f>Sheet1!L124</f>
        <v>Bagus Wahono</v>
      </c>
      <c r="M100" s="16" t="str">
        <f>Sheet1!M124</f>
        <v>Halimatus Sa'diyeh</v>
      </c>
      <c r="N100" s="16" t="str">
        <f ca="1">Sheet1!N124</f>
        <v>18 Tahun, 9 Bulan, 10 Hari</v>
      </c>
      <c r="O100" s="16"/>
      <c r="P100" s="16"/>
    </row>
    <row r="101" spans="1:16" hidden="1" x14ac:dyDescent="0.25">
      <c r="A101" s="13">
        <f>Sheet1!A127</f>
        <v>126</v>
      </c>
      <c r="B101" s="14">
        <v>41</v>
      </c>
      <c r="C101" s="16">
        <f>Sheet1!C127</f>
        <v>0</v>
      </c>
      <c r="D101" s="14" t="str">
        <f>Sheet1!D127</f>
        <v>6A</v>
      </c>
      <c r="E101" s="14" t="str">
        <f>Sheet1!E127</f>
        <v>Ula</v>
      </c>
      <c r="F101" s="16">
        <f>Sheet1!F127</f>
        <v>2990</v>
      </c>
      <c r="G101" s="16" t="str">
        <f>Sheet1!G127</f>
        <v>Hafidi</v>
      </c>
      <c r="H101" s="15" t="str">
        <f>Sheet1!H127</f>
        <v>Bondowoso,</v>
      </c>
      <c r="I101" s="17">
        <f>Sheet1!I127</f>
        <v>39122</v>
      </c>
      <c r="J101" s="14" t="str">
        <f>Sheet1!J127</f>
        <v>B 07</v>
      </c>
      <c r="K101" s="16" t="str">
        <f>Sheet1!K127</f>
        <v>Sukokerto 006/002 Sukokerto Pujer Bondowoso Jawa Timur</v>
      </c>
      <c r="L101" s="16" t="str">
        <f>Sheet1!L127</f>
        <v>BUHARI</v>
      </c>
      <c r="M101" s="16" t="str">
        <f>Sheet1!M127</f>
        <v>TURAH</v>
      </c>
      <c r="N101" s="16" t="str">
        <f ca="1">Sheet1!N127</f>
        <v>17 Tahun, 10 Bulan, 12 Hari</v>
      </c>
      <c r="O101" s="16"/>
      <c r="P101" s="16"/>
    </row>
    <row r="102" spans="1:16" hidden="1" x14ac:dyDescent="0.25">
      <c r="A102" s="13">
        <f>Sheet1!A128</f>
        <v>127</v>
      </c>
      <c r="B102" s="14">
        <v>42</v>
      </c>
      <c r="C102" s="16">
        <f>Sheet1!C128</f>
        <v>0</v>
      </c>
      <c r="D102" s="14" t="str">
        <f>Sheet1!D128</f>
        <v>6C</v>
      </c>
      <c r="E102" s="14" t="str">
        <f>Sheet1!E128</f>
        <v>Ula</v>
      </c>
      <c r="F102" s="16">
        <f>Sheet1!F128</f>
        <v>2987</v>
      </c>
      <c r="G102" s="16" t="str">
        <f>Sheet1!G128</f>
        <v>M. Hakiki Farel</v>
      </c>
      <c r="H102" s="15" t="str">
        <f>Sheet1!H128</f>
        <v>Jember</v>
      </c>
      <c r="I102" s="17">
        <f>Sheet1!I128</f>
        <v>39343</v>
      </c>
      <c r="J102" s="14" t="str">
        <f>Sheet1!J128</f>
        <v>B 07</v>
      </c>
      <c r="K102" s="16" t="str">
        <f>Sheet1!K128</f>
        <v>Dusun Plalangan 001/014 Pringgondani Sumberjambe Jember Jawa Timur</v>
      </c>
      <c r="L102" s="16" t="str">
        <f>Sheet1!L128</f>
        <v>Sutopo</v>
      </c>
      <c r="M102" s="16" t="str">
        <f>Sheet1!M128</f>
        <v>Zainab</v>
      </c>
      <c r="N102" s="16" t="str">
        <f ca="1">Sheet1!N128</f>
        <v>17 Tahun, 3 Bulan, 3 Hari</v>
      </c>
      <c r="O102" s="16"/>
      <c r="P102" s="16"/>
    </row>
    <row r="103" spans="1:16" hidden="1" x14ac:dyDescent="0.25">
      <c r="A103" s="13">
        <f>Sheet1!A129</f>
        <v>128</v>
      </c>
      <c r="B103" s="14">
        <v>43</v>
      </c>
      <c r="C103" s="16">
        <f>Sheet1!C129</f>
        <v>0</v>
      </c>
      <c r="D103" s="14" t="str">
        <f>Sheet1!D129</f>
        <v>2A</v>
      </c>
      <c r="E103" s="14" t="str">
        <f>Sheet1!E129</f>
        <v>Ulya</v>
      </c>
      <c r="F103" s="16">
        <f>Sheet1!F129</f>
        <v>1545</v>
      </c>
      <c r="G103" s="16" t="str">
        <f>Sheet1!G129</f>
        <v>Ibnu Mu'ti</v>
      </c>
      <c r="H103" s="15" t="str">
        <f>Sheet1!H129</f>
        <v>Bondowoso</v>
      </c>
      <c r="I103" s="17" t="str">
        <f>Sheet1!I129</f>
        <v>06 Maret 2007</v>
      </c>
      <c r="J103" s="14" t="str">
        <f>Sheet1!J129</f>
        <v>B 07</v>
      </c>
      <c r="K103" s="16" t="str">
        <f>Sheet1!K129</f>
        <v>Mangli, Rt 007/Rw 002, , Pujer, Bondowoso</v>
      </c>
      <c r="L103" s="16" t="str">
        <f>Sheet1!L129</f>
        <v>Moch. Kholil</v>
      </c>
      <c r="M103" s="16" t="str">
        <f>Sheet1!M129</f>
        <v>Fitri</v>
      </c>
      <c r="N103" s="16" t="str">
        <f ca="1">Sheet1!N129</f>
        <v>17 Tahun, 9 Bulan, 15 Hari</v>
      </c>
      <c r="O103" s="16"/>
      <c r="P103" s="16"/>
    </row>
    <row r="104" spans="1:16" hidden="1" x14ac:dyDescent="0.25">
      <c r="A104" s="13">
        <f>Sheet1!A130</f>
        <v>129</v>
      </c>
      <c r="B104" s="14">
        <v>44</v>
      </c>
      <c r="C104" s="16">
        <f>Sheet1!C130</f>
        <v>0</v>
      </c>
      <c r="D104" s="14">
        <f>Sheet1!D130</f>
        <v>1</v>
      </c>
      <c r="E104" s="14" t="str">
        <f>Sheet1!E130</f>
        <v>Ulya</v>
      </c>
      <c r="F104" s="16">
        <f>Sheet1!F130</f>
        <v>2414</v>
      </c>
      <c r="G104" s="16" t="str">
        <f>Sheet1!G130</f>
        <v>M. Rifqi Holil</v>
      </c>
      <c r="H104" s="15" t="str">
        <f>Sheet1!H130</f>
        <v>Bondowoso</v>
      </c>
      <c r="I104" s="17" t="str">
        <f>Sheet1!I130</f>
        <v>29 Mei 2006</v>
      </c>
      <c r="J104" s="14" t="str">
        <f>Sheet1!J130</f>
        <v>B 07</v>
      </c>
      <c r="K104" s="16" t="str">
        <f>Sheet1!K130</f>
        <v>Mangli-pujer-bondowoso</v>
      </c>
      <c r="L104" s="16" t="str">
        <f>Sheet1!L130</f>
        <v>Edi Afandi</v>
      </c>
      <c r="M104" s="16" t="str">
        <f>Sheet1!M130</f>
        <v>Suhadiyah</v>
      </c>
      <c r="N104" s="16" t="str">
        <f ca="1">Sheet1!N130</f>
        <v>18 Tahun, 6 Bulan, 22 Hari</v>
      </c>
      <c r="O104" s="16"/>
      <c r="P104" s="16"/>
    </row>
    <row r="105" spans="1:16" hidden="1" x14ac:dyDescent="0.25">
      <c r="A105" s="13">
        <f>Sheet1!A131</f>
        <v>130</v>
      </c>
      <c r="B105" s="14">
        <v>45</v>
      </c>
      <c r="C105" s="16">
        <f>Sheet1!C131</f>
        <v>0</v>
      </c>
      <c r="D105" s="14">
        <f>Sheet1!D131</f>
        <v>1</v>
      </c>
      <c r="E105" s="14" t="str">
        <f>Sheet1!E131</f>
        <v>Ulya</v>
      </c>
      <c r="F105" s="16">
        <f>Sheet1!F131</f>
        <v>2911</v>
      </c>
      <c r="G105" s="16" t="str">
        <f>Sheet1!G131</f>
        <v>Mochammad Fadil</v>
      </c>
      <c r="H105" s="15" t="str">
        <f>Sheet1!H131</f>
        <v>Bondowoso</v>
      </c>
      <c r="I105" s="17">
        <f>Sheet1!I131</f>
        <v>38631</v>
      </c>
      <c r="J105" s="14" t="str">
        <f>Sheet1!J131</f>
        <v>B 07</v>
      </c>
      <c r="K105" s="16" t="str">
        <f>Sheet1!K131</f>
        <v>Sukokerto-pujer-bondowoso</v>
      </c>
      <c r="L105" s="16" t="str">
        <f>Sheet1!L131</f>
        <v>Muhammad Kholil</v>
      </c>
      <c r="M105" s="16" t="str">
        <f>Sheet1!M131</f>
        <v>Misni</v>
      </c>
      <c r="N105" s="16" t="str">
        <f ca="1">Sheet1!N131</f>
        <v>19 Tahun, 2 Bulan, 15 Hari</v>
      </c>
      <c r="O105" s="16"/>
      <c r="P105" s="16"/>
    </row>
    <row r="106" spans="1:16" hidden="1" x14ac:dyDescent="0.25">
      <c r="A106" s="13">
        <f>Sheet1!A132</f>
        <v>131</v>
      </c>
      <c r="B106" s="14">
        <v>46</v>
      </c>
      <c r="C106" s="16">
        <f>Sheet1!C132</f>
        <v>0</v>
      </c>
      <c r="D106" s="14" t="str">
        <f>Sheet1!D132</f>
        <v>2A</v>
      </c>
      <c r="E106" s="14" t="str">
        <f>Sheet1!E132</f>
        <v>Ulya</v>
      </c>
      <c r="F106" s="16">
        <f>Sheet1!F132</f>
        <v>1606</v>
      </c>
      <c r="G106" s="16" t="str">
        <f>Sheet1!G132</f>
        <v>Rofiki</v>
      </c>
      <c r="H106" s="15" t="str">
        <f>Sheet1!H132</f>
        <v>Bondowoso</v>
      </c>
      <c r="I106" s="17" t="str">
        <f>Sheet1!I132</f>
        <v>27 Maret 2005</v>
      </c>
      <c r="J106" s="14" t="str">
        <f>Sheet1!J132</f>
        <v>B 07</v>
      </c>
      <c r="K106" s="16" t="str">
        <f>Sheet1!K132</f>
        <v>Desa Sukokerto, Rt 007/Rw 004, , Kec.Pujer, Kab.Bondowoso</v>
      </c>
      <c r="L106" s="16" t="str">
        <f>Sheet1!L132</f>
        <v>Abdul Aziz</v>
      </c>
      <c r="M106" s="16" t="str">
        <f>Sheet1!M132</f>
        <v>Zaenab</v>
      </c>
      <c r="N106" s="16" t="str">
        <f ca="1">Sheet1!N132</f>
        <v>19 Tahun, 8 Bulan, 24 Hari</v>
      </c>
      <c r="O106" s="16"/>
      <c r="P106" s="16"/>
    </row>
    <row r="107" spans="1:16" hidden="1" x14ac:dyDescent="0.25">
      <c r="A107" s="13">
        <f>Sheet1!A133</f>
        <v>132</v>
      </c>
      <c r="B107" s="14">
        <v>47</v>
      </c>
      <c r="C107" s="16">
        <f>Sheet1!C133</f>
        <v>0</v>
      </c>
      <c r="D107" s="14">
        <f>Sheet1!D133</f>
        <v>1</v>
      </c>
      <c r="E107" s="14" t="str">
        <f>Sheet1!E133</f>
        <v>Ulya</v>
      </c>
      <c r="F107" s="16">
        <f>Sheet1!F133</f>
        <v>2503</v>
      </c>
      <c r="G107" s="16" t="str">
        <f>Sheet1!G133</f>
        <v>Sholeh</v>
      </c>
      <c r="H107" s="15" t="str">
        <f>Sheet1!H133</f>
        <v>Bondowoso</v>
      </c>
      <c r="I107" s="17" t="str">
        <f>Sheet1!I133</f>
        <v>23 Okt 2004</v>
      </c>
      <c r="J107" s="14" t="str">
        <f>Sheet1!J133</f>
        <v>B 07</v>
      </c>
      <c r="K107" s="16" t="str">
        <f>Sheet1!K133</f>
        <v>sukokerto-pujer-bondowoso</v>
      </c>
      <c r="L107" s="16" t="str">
        <f>Sheet1!L133</f>
        <v>Surdi Atmojo</v>
      </c>
      <c r="M107" s="16" t="str">
        <f>Sheet1!M133</f>
        <v>Seinap</v>
      </c>
      <c r="N107" s="16" t="str">
        <f ca="1">Sheet1!N133</f>
        <v>20 Tahun, 1 Bulan, 28 Hari</v>
      </c>
      <c r="O107" s="16"/>
      <c r="P107" s="16"/>
    </row>
    <row r="108" spans="1:16" hidden="1" x14ac:dyDescent="0.25">
      <c r="A108" s="13">
        <f>Sheet1!A136</f>
        <v>135</v>
      </c>
      <c r="B108" s="14">
        <v>48</v>
      </c>
      <c r="C108" s="16">
        <f>Sheet1!C136</f>
        <v>0</v>
      </c>
      <c r="D108" s="14">
        <f>Sheet1!D136</f>
        <v>1</v>
      </c>
      <c r="E108" s="14" t="str">
        <f>Sheet1!E136</f>
        <v>Ulya</v>
      </c>
      <c r="F108" s="16">
        <f>Sheet1!F136</f>
        <v>2521</v>
      </c>
      <c r="G108" s="16" t="str">
        <f>Sheet1!G136</f>
        <v>Muhamad Ronald Fadli</v>
      </c>
      <c r="H108" s="15" t="str">
        <f>Sheet1!H136</f>
        <v>Bondowoso</v>
      </c>
      <c r="I108" s="17" t="str">
        <f>Sheet1!I136</f>
        <v>14 Jan 2006</v>
      </c>
      <c r="J108" s="14" t="str">
        <f>Sheet1!J136</f>
        <v>B 08</v>
      </c>
      <c r="K108" s="16" t="str">
        <f>Sheet1!K136</f>
        <v>Alassumur Pujer Bondowoso</v>
      </c>
      <c r="L108" s="16" t="str">
        <f>Sheet1!L136</f>
        <v>Mohammad Sukri</v>
      </c>
      <c r="M108" s="16" t="str">
        <f>Sheet1!M136</f>
        <v>Siti Muflihah</v>
      </c>
      <c r="N108" s="16" t="str">
        <f ca="1">Sheet1!N136</f>
        <v>18 Tahun, 11 Bulan, 7 Hari</v>
      </c>
      <c r="O108" s="16"/>
      <c r="P108" s="16"/>
    </row>
    <row r="109" spans="1:16" hidden="1" x14ac:dyDescent="0.25">
      <c r="A109" s="13">
        <f>Sheet1!A137</f>
        <v>136</v>
      </c>
      <c r="B109" s="14">
        <v>49</v>
      </c>
      <c r="C109" s="16">
        <f>Sheet1!C137</f>
        <v>0</v>
      </c>
      <c r="D109" s="14" t="str">
        <f>Sheet1!D137</f>
        <v>2A</v>
      </c>
      <c r="E109" s="14" t="str">
        <f>Sheet1!E137</f>
        <v>Ulya</v>
      </c>
      <c r="F109" s="16">
        <f>Sheet1!F137</f>
        <v>1541</v>
      </c>
      <c r="G109" s="16" t="str">
        <f>Sheet1!G137</f>
        <v>Hamdani Agiel</v>
      </c>
      <c r="H109" s="15" t="str">
        <f>Sheet1!H137</f>
        <v>Bondowoso</v>
      </c>
      <c r="I109" s="17" t="str">
        <f>Sheet1!I137</f>
        <v>08 Juni 2006</v>
      </c>
      <c r="J109" s="14" t="str">
        <f>Sheet1!J137</f>
        <v>B 08</v>
      </c>
      <c r="K109" s="16" t="str">
        <f>Sheet1!K137</f>
        <v>Maskuning Wetan, Rt 001 / Rw 001, , Kec.Pujer, Kab.Bondowoso</v>
      </c>
      <c r="L109" s="16" t="str">
        <f>Sheet1!L137</f>
        <v>Sutrisno</v>
      </c>
      <c r="M109" s="16" t="str">
        <f>Sheet1!M137</f>
        <v>Murtiah</v>
      </c>
      <c r="N109" s="16" t="str">
        <f ca="1">Sheet1!N137</f>
        <v>18 Tahun, 6 Bulan, 13 Hari</v>
      </c>
      <c r="O109" s="16"/>
      <c r="P109" s="16"/>
    </row>
    <row r="110" spans="1:16" hidden="1" x14ac:dyDescent="0.25">
      <c r="A110" s="13">
        <f>Sheet1!A138</f>
        <v>137</v>
      </c>
      <c r="B110" s="14">
        <v>50</v>
      </c>
      <c r="C110" s="16">
        <f>Sheet1!C138</f>
        <v>0</v>
      </c>
      <c r="D110" s="14">
        <f>Sheet1!D138</f>
        <v>1</v>
      </c>
      <c r="E110" s="14" t="str">
        <f>Sheet1!E138</f>
        <v>Ulya</v>
      </c>
      <c r="F110" s="16">
        <f>Sheet1!F138</f>
        <v>2466</v>
      </c>
      <c r="G110" s="16" t="str">
        <f>Sheet1!G138</f>
        <v>M Lukman Al Farisi</v>
      </c>
      <c r="H110" s="15" t="str">
        <f>Sheet1!H138</f>
        <v>Bondowoso</v>
      </c>
      <c r="I110" s="17" t="str">
        <f>Sheet1!I138</f>
        <v>01 Juni 2006</v>
      </c>
      <c r="J110" s="14" t="str">
        <f>Sheet1!J138</f>
        <v>B 08</v>
      </c>
      <c r="K110" s="16" t="str">
        <f>Sheet1!K138</f>
        <v>Sukodono-pujer-bondowos</v>
      </c>
      <c r="L110" s="16" t="str">
        <f>Sheet1!L138</f>
        <v>Sahari</v>
      </c>
      <c r="M110" s="16" t="str">
        <f>Sheet1!M138</f>
        <v xml:space="preserve"> Puyami</v>
      </c>
      <c r="N110" s="16" t="str">
        <f ca="1">Sheet1!N138</f>
        <v>18 Tahun, 6 Bulan, 20 Hari</v>
      </c>
      <c r="O110" s="16"/>
      <c r="P110" s="16"/>
    </row>
    <row r="111" spans="1:16" hidden="1" x14ac:dyDescent="0.25">
      <c r="A111" s="13">
        <f>Sheet1!A139</f>
        <v>138</v>
      </c>
      <c r="B111" s="14">
        <v>51</v>
      </c>
      <c r="C111" s="16">
        <f>Sheet1!C139</f>
        <v>0</v>
      </c>
      <c r="D111" s="14">
        <f>Sheet1!D139</f>
        <v>1</v>
      </c>
      <c r="E111" s="14" t="str">
        <f>Sheet1!E139</f>
        <v>Ulya</v>
      </c>
      <c r="F111" s="16">
        <f>Sheet1!F139</f>
        <v>3135</v>
      </c>
      <c r="G111" s="16" t="str">
        <f>Sheet1!G139</f>
        <v>Anas Zaini</v>
      </c>
      <c r="H111" s="15" t="str">
        <f>Sheet1!H139</f>
        <v>Bondowoso</v>
      </c>
      <c r="I111" s="17">
        <f>Sheet1!I139</f>
        <v>38439</v>
      </c>
      <c r="J111" s="14" t="str">
        <f>Sheet1!J139</f>
        <v>B 08</v>
      </c>
      <c r="K111" s="16" t="str">
        <f>Sheet1!K139</f>
        <v>Alassumur Pujer Bondowoso</v>
      </c>
      <c r="L111" s="16" t="str">
        <f>Sheet1!L139</f>
        <v>Moch Samsul Bahri</v>
      </c>
      <c r="M111" s="16">
        <f>Sheet1!M139</f>
        <v>0</v>
      </c>
      <c r="N111" s="16" t="str">
        <f ca="1">Sheet1!N139</f>
        <v>19 Tahun, 8 Bulan, 23 Hari</v>
      </c>
      <c r="O111" s="16"/>
      <c r="P111" s="16"/>
    </row>
    <row r="112" spans="1:16" hidden="1" x14ac:dyDescent="0.25">
      <c r="A112" s="13">
        <f>Sheet1!A140</f>
        <v>139</v>
      </c>
      <c r="B112" s="14">
        <v>52</v>
      </c>
      <c r="C112" s="16">
        <f>Sheet1!C140</f>
        <v>0</v>
      </c>
      <c r="D112" s="14" t="str">
        <f>Sheet1!D140</f>
        <v>2C</v>
      </c>
      <c r="E112" s="14" t="str">
        <f>Sheet1!E140</f>
        <v>Ulya</v>
      </c>
      <c r="F112" s="16">
        <f>Sheet1!F140</f>
        <v>1597</v>
      </c>
      <c r="G112" s="16" t="str">
        <f>Sheet1!G140</f>
        <v>Muhammad Sony</v>
      </c>
      <c r="H112" s="15" t="str">
        <f>Sheet1!H140</f>
        <v>Bondowoso</v>
      </c>
      <c r="I112" s="17" t="str">
        <f>Sheet1!I140</f>
        <v>17 Oktober 2003</v>
      </c>
      <c r="J112" s="14" t="str">
        <f>Sheet1!J140</f>
        <v>B 08</v>
      </c>
      <c r="K112" s="16" t="str">
        <f>Sheet1!K140</f>
        <v>Alassumur, Rt 003/ Rw 001, , Kec.Pujer, Kab.Bondowoso</v>
      </c>
      <c r="L112" s="16" t="str">
        <f>Sheet1!L140</f>
        <v>Abdul Harif</v>
      </c>
      <c r="M112" s="16" t="str">
        <f>Sheet1!M140</f>
        <v>Lailatul Munawaroh</v>
      </c>
      <c r="N112" s="16" t="str">
        <f ca="1">Sheet1!N140</f>
        <v>21 Tahun, 2 Bulan, 4 Hari</v>
      </c>
      <c r="O112" s="16"/>
      <c r="P112" s="16"/>
    </row>
    <row r="113" spans="1:16" hidden="1" x14ac:dyDescent="0.25">
      <c r="A113" s="13">
        <f>Sheet1!A141</f>
        <v>140</v>
      </c>
      <c r="B113" s="14">
        <v>53</v>
      </c>
      <c r="C113" s="16" t="str">
        <f>Sheet1!C141</f>
        <v>STAI</v>
      </c>
      <c r="D113" s="14" t="str">
        <f>Sheet1!D141</f>
        <v>3D</v>
      </c>
      <c r="E113" s="14" t="str">
        <f>Sheet1!E141</f>
        <v>Wustha</v>
      </c>
      <c r="F113" s="16">
        <f>Sheet1!F141</f>
        <v>2814</v>
      </c>
      <c r="G113" s="16" t="str">
        <f>Sheet1!G141</f>
        <v>Muhammad Rifki</v>
      </c>
      <c r="H113" s="15" t="str">
        <f>Sheet1!H141</f>
        <v>Bondowoso</v>
      </c>
      <c r="I113" s="17">
        <f>Sheet1!I141</f>
        <v>39063</v>
      </c>
      <c r="J113" s="14" t="str">
        <f>Sheet1!J141</f>
        <v>B 08</v>
      </c>
      <c r="K113" s="16" t="str">
        <f>Sheet1!K141</f>
        <v>Sukodoono-Pujer-Bondowoso</v>
      </c>
      <c r="L113" s="16" t="str">
        <f>Sheet1!L141</f>
        <v>Mulyadi</v>
      </c>
      <c r="M113" s="16" t="str">
        <f>Sheet1!M141</f>
        <v>Ni Kadek Anis Ariani</v>
      </c>
      <c r="N113" s="16" t="str">
        <f ca="1">Sheet1!N141</f>
        <v>18 Tahun, 0 Bulan, 9 Hari</v>
      </c>
      <c r="O113" s="16"/>
      <c r="P113" s="16"/>
    </row>
    <row r="114" spans="1:16" hidden="1" x14ac:dyDescent="0.25">
      <c r="A114" s="13">
        <f>Sheet1!A142</f>
        <v>141</v>
      </c>
      <c r="B114" s="14">
        <v>54</v>
      </c>
      <c r="C114" s="16">
        <f>Sheet1!C142</f>
        <v>0</v>
      </c>
      <c r="D114" s="14">
        <f>Sheet1!D142</f>
        <v>1</v>
      </c>
      <c r="E114" s="14" t="str">
        <f>Sheet1!E142</f>
        <v>Ulya</v>
      </c>
      <c r="F114" s="16">
        <f>Sheet1!F142</f>
        <v>2541</v>
      </c>
      <c r="G114" s="16" t="str">
        <f>Sheet1!G142</f>
        <v>Fadil Sabilillah</v>
      </c>
      <c r="H114" s="15" t="str">
        <f>Sheet1!H142</f>
        <v>Bondowoso</v>
      </c>
      <c r="I114" s="17" t="str">
        <f>Sheet1!I142</f>
        <v>07 Desember 2005</v>
      </c>
      <c r="J114" s="14" t="str">
        <f>Sheet1!J142</f>
        <v>B 09</v>
      </c>
      <c r="K114" s="16" t="str">
        <f>Sheet1!K142</f>
        <v>Sukodono-Pujer-Bondowoso</v>
      </c>
      <c r="L114" s="16" t="str">
        <f>Sheet1!L142</f>
        <v>Heryanto</v>
      </c>
      <c r="M114" s="16" t="str">
        <f>Sheet1!M142</f>
        <v>Tipyani</v>
      </c>
      <c r="N114" s="16" t="str">
        <f ca="1">Sheet1!N142</f>
        <v>19 Tahun, 0 Bulan, 14 Hari</v>
      </c>
      <c r="O114" s="16"/>
      <c r="P114" s="16"/>
    </row>
    <row r="115" spans="1:16" hidden="1" x14ac:dyDescent="0.25">
      <c r="A115" s="13">
        <f>Sheet1!A143</f>
        <v>142</v>
      </c>
      <c r="B115" s="14">
        <v>55</v>
      </c>
      <c r="C115" s="16">
        <f>Sheet1!C143</f>
        <v>0</v>
      </c>
      <c r="D115" s="14">
        <f>Sheet1!D143</f>
        <v>1</v>
      </c>
      <c r="E115" s="14" t="str">
        <f>Sheet1!E143</f>
        <v>Ulya</v>
      </c>
      <c r="F115" s="16">
        <f>Sheet1!F143</f>
        <v>2479</v>
      </c>
      <c r="G115" s="16" t="str">
        <f>Sheet1!G143</f>
        <v>M. Wahyudi</v>
      </c>
      <c r="H115" s="15" t="str">
        <f>Sheet1!H143</f>
        <v>Bondowoso</v>
      </c>
      <c r="I115" s="17" t="str">
        <f>Sheet1!I143</f>
        <v>30 Agustus 2006</v>
      </c>
      <c r="J115" s="14" t="str">
        <f>Sheet1!J143</f>
        <v>B 09</v>
      </c>
      <c r="K115" s="16" t="str">
        <f>Sheet1!K143</f>
        <v>Pelalangan</v>
      </c>
      <c r="L115" s="16" t="str">
        <f>Sheet1!L143</f>
        <v>Muhyid</v>
      </c>
      <c r="M115" s="16" t="str">
        <f>Sheet1!M143</f>
        <v>Rasita</v>
      </c>
      <c r="N115" s="16" t="str">
        <f ca="1">Sheet1!N143</f>
        <v>18 Tahun, 3 Bulan, 21 Hari</v>
      </c>
      <c r="O115" s="16"/>
      <c r="P115" s="16"/>
    </row>
    <row r="116" spans="1:16" hidden="1" x14ac:dyDescent="0.25">
      <c r="A116" s="13">
        <f>Sheet1!A144</f>
        <v>143</v>
      </c>
      <c r="B116" s="14">
        <v>56</v>
      </c>
      <c r="C116" s="16" t="str">
        <f>Sheet1!C144</f>
        <v>STAI</v>
      </c>
      <c r="D116" s="14" t="str">
        <f>Sheet1!D144</f>
        <v>3D</v>
      </c>
      <c r="E116" s="14" t="str">
        <f>Sheet1!E144</f>
        <v>Wustha</v>
      </c>
      <c r="F116" s="16">
        <f>Sheet1!F144</f>
        <v>2858</v>
      </c>
      <c r="G116" s="16" t="str">
        <f>Sheet1!G144</f>
        <v>Ahmad Tiofelani</v>
      </c>
      <c r="H116" s="15" t="str">
        <f>Sheet1!H144</f>
        <v>Bondowoso</v>
      </c>
      <c r="I116" s="17">
        <f>Sheet1!I144</f>
        <v>39279</v>
      </c>
      <c r="J116" s="14" t="str">
        <f>Sheet1!J144</f>
        <v>B 09</v>
      </c>
      <c r="K116" s="16" t="str">
        <f>Sheet1!K144</f>
        <v>Alassumur-Pujer-Bondowoso</v>
      </c>
      <c r="L116" s="16" t="str">
        <f>Sheet1!L144</f>
        <v>Sunar</v>
      </c>
      <c r="M116" s="16" t="str">
        <f>Sheet1!M144</f>
        <v>Aswati</v>
      </c>
      <c r="N116" s="16" t="str">
        <f ca="1">Sheet1!N144</f>
        <v>17 Tahun, 5 Bulan, 5 Hari</v>
      </c>
      <c r="O116" s="16"/>
      <c r="P116" s="16"/>
    </row>
    <row r="117" spans="1:16" hidden="1" x14ac:dyDescent="0.25">
      <c r="A117" s="13">
        <f>Sheet1!A145</f>
        <v>144</v>
      </c>
      <c r="B117" s="14">
        <v>57</v>
      </c>
      <c r="C117" s="16">
        <f>Sheet1!C145</f>
        <v>0</v>
      </c>
      <c r="D117" s="14" t="str">
        <f>Sheet1!D145</f>
        <v>3B</v>
      </c>
      <c r="E117" s="14" t="str">
        <f>Sheet1!E145</f>
        <v>Wustha</v>
      </c>
      <c r="F117" s="16">
        <f>Sheet1!F145</f>
        <v>3117</v>
      </c>
      <c r="G117" s="16" t="str">
        <f>Sheet1!G145</f>
        <v>Ilham Maulidi Romadani</v>
      </c>
      <c r="H117" s="15" t="str">
        <f>Sheet1!H145</f>
        <v>Bondowoso</v>
      </c>
      <c r="I117" s="17">
        <f>Sheet1!I145</f>
        <v>38987</v>
      </c>
      <c r="J117" s="14" t="str">
        <f>Sheet1!J145</f>
        <v>B 09</v>
      </c>
      <c r="K117" s="16" t="str">
        <f>Sheet1!K145</f>
        <v>Pengarang-Jambesari Darus Sholah-Bobdowoso</v>
      </c>
      <c r="L117" s="16" t="str">
        <f>Sheet1!L145</f>
        <v>Umar Faruq</v>
      </c>
      <c r="M117" s="16" t="str">
        <f>Sheet1!M145</f>
        <v>Zainatun</v>
      </c>
      <c r="N117" s="16" t="str">
        <f ca="1">Sheet1!N145</f>
        <v>18 Tahun, 2 Bulan, 24 Hari</v>
      </c>
      <c r="O117" s="16"/>
      <c r="P117" s="16"/>
    </row>
    <row r="118" spans="1:16" hidden="1" x14ac:dyDescent="0.25">
      <c r="A118" s="13">
        <f>Sheet1!A146</f>
        <v>145</v>
      </c>
      <c r="B118" s="14">
        <v>58</v>
      </c>
      <c r="C118" s="16" t="str">
        <f>Sheet1!C146</f>
        <v>STAI</v>
      </c>
      <c r="D118" s="14" t="str">
        <f>Sheet1!D146</f>
        <v>2A</v>
      </c>
      <c r="E118" s="14" t="str">
        <f>Sheet1!E146</f>
        <v>Wustha</v>
      </c>
      <c r="F118" s="16">
        <f>Sheet1!F146</f>
        <v>2738</v>
      </c>
      <c r="G118" s="16" t="str">
        <f>Sheet1!G146</f>
        <v>Gunawan</v>
      </c>
      <c r="H118" s="15" t="str">
        <f>Sheet1!H146</f>
        <v>Bondowoso</v>
      </c>
      <c r="I118" s="17" t="str">
        <f>Sheet1!I146</f>
        <v>07 Agustus 2005</v>
      </c>
      <c r="J118" s="14" t="str">
        <f>Sheet1!J146</f>
        <v>B 09</v>
      </c>
      <c r="K118" s="16" t="str">
        <f>Sheet1!K146</f>
        <v>Sempol Ijen Bondowoso</v>
      </c>
      <c r="L118" s="16" t="str">
        <f>Sheet1!L146</f>
        <v>Herpandi</v>
      </c>
      <c r="M118" s="16">
        <f>Sheet1!M146</f>
        <v>0</v>
      </c>
      <c r="N118" s="16" t="str">
        <f ca="1">Sheet1!N146</f>
        <v>19 Tahun, 4 Bulan, 14 Hari</v>
      </c>
      <c r="O118" s="16"/>
      <c r="P118" s="16"/>
    </row>
    <row r="119" spans="1:16" hidden="1" x14ac:dyDescent="0.25">
      <c r="A119" s="13">
        <f>Sheet1!A147</f>
        <v>146</v>
      </c>
      <c r="B119" s="14">
        <v>59</v>
      </c>
      <c r="C119" s="16">
        <f>Sheet1!C147</f>
        <v>0</v>
      </c>
      <c r="D119" s="14" t="str">
        <f>Sheet1!D147</f>
        <v>3B</v>
      </c>
      <c r="E119" s="14" t="str">
        <f>Sheet1!E147</f>
        <v>Wustha</v>
      </c>
      <c r="F119" s="16">
        <f>Sheet1!F147</f>
        <v>2894</v>
      </c>
      <c r="G119" s="16" t="str">
        <f>Sheet1!G147</f>
        <v>Sofan Ali Zein</v>
      </c>
      <c r="H119" s="15" t="str">
        <f>Sheet1!H147</f>
        <v>Bondowoso</v>
      </c>
      <c r="I119" s="17">
        <f>Sheet1!I147</f>
        <v>38447</v>
      </c>
      <c r="J119" s="14" t="str">
        <f>Sheet1!J147</f>
        <v>B 09</v>
      </c>
      <c r="K119" s="16" t="str">
        <f>Sheet1!K147</f>
        <v>Sukokerto-Pujer-Bondowoso</v>
      </c>
      <c r="L119" s="16" t="str">
        <f>Sheet1!L147</f>
        <v>Mohlis</v>
      </c>
      <c r="M119" s="16" t="str">
        <f>Sheet1!M147</f>
        <v>Suhaini</v>
      </c>
      <c r="N119" s="16" t="str">
        <f ca="1">Sheet1!N147</f>
        <v>19 Tahun, 8 Bulan, 16 Hari</v>
      </c>
      <c r="O119" s="16"/>
      <c r="P119" s="16"/>
    </row>
    <row r="120" spans="1:16" hidden="1" x14ac:dyDescent="0.25">
      <c r="A120" s="13">
        <f>Sheet1!A148</f>
        <v>147</v>
      </c>
      <c r="B120" s="14">
        <v>60</v>
      </c>
      <c r="C120" s="16">
        <f>Sheet1!C148</f>
        <v>0</v>
      </c>
      <c r="D120" s="14">
        <f>Sheet1!D148</f>
        <v>1</v>
      </c>
      <c r="E120" s="14" t="str">
        <f>Sheet1!E148</f>
        <v>Ulya</v>
      </c>
      <c r="F120" s="16">
        <f>Sheet1!F148</f>
        <v>2456</v>
      </c>
      <c r="G120" s="16" t="str">
        <f>Sheet1!G148</f>
        <v>Alfin Maulana</v>
      </c>
      <c r="H120" s="15" t="str">
        <f>Sheet1!H148</f>
        <v>Bondowoso</v>
      </c>
      <c r="I120" s="17" t="str">
        <f>Sheet1!I148</f>
        <v>10 Mei 2007</v>
      </c>
      <c r="J120" s="14" t="str">
        <f>Sheet1!J148</f>
        <v>B 10</v>
      </c>
      <c r="K120" s="16" t="str">
        <f>Sheet1!K148</f>
        <v>Karang Tengah</v>
      </c>
      <c r="L120" s="16" t="str">
        <f>Sheet1!L148</f>
        <v>Asnawi</v>
      </c>
      <c r="M120" s="16">
        <f>Sheet1!M148</f>
        <v>0</v>
      </c>
      <c r="N120" s="16" t="str">
        <f ca="1">Sheet1!N148</f>
        <v>17 Tahun, 7 Bulan, 11 Hari</v>
      </c>
      <c r="O120" s="16"/>
      <c r="P120" s="16"/>
    </row>
    <row r="121" spans="1:16" hidden="1" x14ac:dyDescent="0.25">
      <c r="A121" s="13">
        <f>Sheet1!A149</f>
        <v>148</v>
      </c>
      <c r="B121" s="14">
        <v>61</v>
      </c>
      <c r="C121" s="16">
        <f>Sheet1!C149</f>
        <v>0</v>
      </c>
      <c r="D121" s="14" t="str">
        <f>Sheet1!D149</f>
        <v>2C</v>
      </c>
      <c r="E121" s="14" t="str">
        <f>Sheet1!E149</f>
        <v>Ulya</v>
      </c>
      <c r="F121" s="16">
        <f>Sheet1!F149</f>
        <v>1530</v>
      </c>
      <c r="G121" s="16" t="str">
        <f>Sheet1!G149</f>
        <v>Ali Humaidi</v>
      </c>
      <c r="H121" s="15" t="str">
        <f>Sheet1!H149</f>
        <v>Bondowoso</v>
      </c>
      <c r="I121" s="17" t="str">
        <f>Sheet1!I149</f>
        <v>26 november 2004</v>
      </c>
      <c r="J121" s="14" t="str">
        <f>Sheet1!J149</f>
        <v>B 10</v>
      </c>
      <c r="K121" s="16" t="str">
        <f>Sheet1!K149</f>
        <v>Dusun Gunung, Rt 002/ Rw 001, Desa Maskuning Wetan, Kec. Pujer, Kab. Bondowoso</v>
      </c>
      <c r="L121" s="16" t="str">
        <f>Sheet1!L149</f>
        <v>Sugianto</v>
      </c>
      <c r="M121" s="16">
        <f>Sheet1!M149</f>
        <v>0</v>
      </c>
      <c r="N121" s="16" t="str">
        <f ca="1">Sheet1!N149</f>
        <v>20 Tahun, 0 Bulan, 25 Hari</v>
      </c>
      <c r="O121" s="16"/>
      <c r="P121" s="16"/>
    </row>
    <row r="122" spans="1:16" hidden="1" x14ac:dyDescent="0.25">
      <c r="A122" s="13">
        <f>Sheet1!A150</f>
        <v>149</v>
      </c>
      <c r="B122" s="14">
        <v>62</v>
      </c>
      <c r="C122" s="16">
        <f>Sheet1!C150</f>
        <v>0</v>
      </c>
      <c r="D122" s="14">
        <f>Sheet1!D150</f>
        <v>1</v>
      </c>
      <c r="E122" s="14" t="str">
        <f>Sheet1!E150</f>
        <v>Ulya</v>
      </c>
      <c r="F122" s="16">
        <f>Sheet1!F150</f>
        <v>2483</v>
      </c>
      <c r="G122" s="16" t="str">
        <f>Sheet1!G150</f>
        <v>Ahmad Fajar</v>
      </c>
      <c r="H122" s="15" t="str">
        <f>Sheet1!H150</f>
        <v>Bondowoso</v>
      </c>
      <c r="I122" s="17" t="str">
        <f>Sheet1!I150</f>
        <v>29 Sep 2003</v>
      </c>
      <c r="J122" s="14" t="str">
        <f>Sheet1!J150</f>
        <v>B 10</v>
      </c>
      <c r="K122" s="16" t="str">
        <f>Sheet1!K150</f>
        <v>Sbr Anom-tamanan-bondowoso</v>
      </c>
      <c r="L122" s="16" t="str">
        <f>Sheet1!L150</f>
        <v>Muhammad Djasuli</v>
      </c>
      <c r="M122" s="16" t="str">
        <f>Sheet1!M150</f>
        <v>Rahmah</v>
      </c>
      <c r="N122" s="16" t="str">
        <f ca="1">Sheet1!N150</f>
        <v>21 Tahun, 2 Bulan, 22 Hari</v>
      </c>
      <c r="O122" s="16"/>
      <c r="P122" s="16"/>
    </row>
    <row r="123" spans="1:16" hidden="1" x14ac:dyDescent="0.25">
      <c r="A123" s="13">
        <f>Sheet1!A151</f>
        <v>150</v>
      </c>
      <c r="B123" s="14">
        <v>63</v>
      </c>
      <c r="C123" s="16" t="str">
        <f>Sheet1!C151</f>
        <v>2 SMA</v>
      </c>
      <c r="D123" s="14" t="str">
        <f>Sheet1!D151</f>
        <v>3D</v>
      </c>
      <c r="E123" s="14" t="str">
        <f>Sheet1!E151</f>
        <v>Wustha</v>
      </c>
      <c r="F123" s="16">
        <f>Sheet1!F151</f>
        <v>3574</v>
      </c>
      <c r="G123" s="16" t="str">
        <f>Sheet1!G151</f>
        <v>Ahmad Sofyan Widiyanto</v>
      </c>
      <c r="H123" s="15" t="str">
        <f>Sheet1!H151</f>
        <v>Bondowoso</v>
      </c>
      <c r="I123" s="17">
        <f>Sheet1!I151</f>
        <v>39343</v>
      </c>
      <c r="J123" s="14" t="str">
        <f>Sheet1!J151</f>
        <v>B 10</v>
      </c>
      <c r="K123" s="16" t="str">
        <f>Sheet1!K151</f>
        <v>Sumber Anom-Tamanan-Bondowoso</v>
      </c>
      <c r="L123" s="16" t="str">
        <f>Sheet1!L151</f>
        <v>Sunardi</v>
      </c>
      <c r="M123" s="16" t="str">
        <f>Sheet1!M151</f>
        <v>Sulastri</v>
      </c>
      <c r="N123" s="16" t="str">
        <f ca="1">Sheet1!N151</f>
        <v>17 Tahun, 3 Bulan, 3 Hari</v>
      </c>
      <c r="O123" s="16"/>
      <c r="P123" s="16"/>
    </row>
    <row r="124" spans="1:16" hidden="1" x14ac:dyDescent="0.25">
      <c r="A124" s="13">
        <f>Sheet1!A152</f>
        <v>151</v>
      </c>
      <c r="B124" s="14">
        <v>64</v>
      </c>
      <c r="C124" s="16" t="str">
        <f>Sheet1!C152</f>
        <v>3 SMA</v>
      </c>
      <c r="D124" s="14" t="str">
        <f>Sheet1!D152</f>
        <v>3A</v>
      </c>
      <c r="E124" s="14" t="str">
        <f>Sheet1!E152</f>
        <v>Wustha</v>
      </c>
      <c r="F124" s="16">
        <f>Sheet1!F152</f>
        <v>3118</v>
      </c>
      <c r="G124" s="16" t="str">
        <f>Sheet1!G152</f>
        <v>M.Kiki Kristanto</v>
      </c>
      <c r="H124" s="15" t="str">
        <f>Sheet1!H152</f>
        <v>Bondowoso</v>
      </c>
      <c r="I124" s="17" t="str">
        <f>Sheet1!I152</f>
        <v>29 Januari 2007</v>
      </c>
      <c r="J124" s="14" t="str">
        <f>Sheet1!J152</f>
        <v>B 10</v>
      </c>
      <c r="K124" s="16" t="str">
        <f>Sheet1!K152</f>
        <v>Sumber Anom-Tamanan-Bondowoso</v>
      </c>
      <c r="L124" s="16" t="str">
        <f>Sheet1!L152</f>
        <v>Samsul Arifin</v>
      </c>
      <c r="M124" s="16" t="str">
        <f>Sheet1!M152</f>
        <v>Sriwantini</v>
      </c>
      <c r="N124" s="16" t="str">
        <f ca="1">Sheet1!N152</f>
        <v>17 Tahun, 10 Bulan, 22 Hari</v>
      </c>
      <c r="O124" s="16"/>
      <c r="P124" s="16"/>
    </row>
    <row r="125" spans="1:16" hidden="1" x14ac:dyDescent="0.25">
      <c r="A125" s="13">
        <f>Sheet1!A153</f>
        <v>152</v>
      </c>
      <c r="B125" s="14">
        <v>65</v>
      </c>
      <c r="C125" s="16">
        <f>Sheet1!C153</f>
        <v>0</v>
      </c>
      <c r="D125" s="14" t="str">
        <f>Sheet1!D153</f>
        <v>2C</v>
      </c>
      <c r="E125" s="14" t="str">
        <f>Sheet1!E153</f>
        <v>Ulya</v>
      </c>
      <c r="F125" s="16">
        <f>Sheet1!F153</f>
        <v>1551</v>
      </c>
      <c r="G125" s="16" t="str">
        <f>Sheet1!G153</f>
        <v>Irvan Maulana</v>
      </c>
      <c r="H125" s="15" t="str">
        <f>Sheet1!H153</f>
        <v>Bondowoso</v>
      </c>
      <c r="I125" s="17" t="str">
        <f>Sheet1!I153</f>
        <v>06 Agustus 2004</v>
      </c>
      <c r="J125" s="14" t="str">
        <f>Sheet1!J153</f>
        <v>B 11</v>
      </c>
      <c r="K125" s="16" t="str">
        <f>Sheet1!K153</f>
        <v xml:space="preserve">Taman, Rt 065/ Rw 007, Kec.Grujugan, Kab.Bondowoso, </v>
      </c>
      <c r="L125" s="16" t="str">
        <f>Sheet1!L153</f>
        <v>Asmuni</v>
      </c>
      <c r="M125" s="16" t="str">
        <f>Sheet1!M153</f>
        <v>Sittina</v>
      </c>
      <c r="N125" s="16" t="str">
        <f ca="1">Sheet1!N153</f>
        <v>20 Tahun, 4 Bulan, 15 Hari</v>
      </c>
      <c r="O125" s="16"/>
      <c r="P125" s="16"/>
    </row>
    <row r="126" spans="1:16" hidden="1" x14ac:dyDescent="0.25">
      <c r="A126" s="13">
        <f>Sheet1!A154</f>
        <v>153</v>
      </c>
      <c r="B126" s="14">
        <v>66</v>
      </c>
      <c r="C126" s="16" t="str">
        <f>Sheet1!C154</f>
        <v>1 SMA</v>
      </c>
      <c r="D126" s="14" t="str">
        <f>Sheet1!D154</f>
        <v>3C</v>
      </c>
      <c r="E126" s="14" t="str">
        <f>Sheet1!E154</f>
        <v>Wustha</v>
      </c>
      <c r="F126" s="16">
        <f>Sheet1!F154</f>
        <v>2785</v>
      </c>
      <c r="G126" s="16" t="str">
        <f>Sheet1!G154</f>
        <v xml:space="preserve">Fawa'id </v>
      </c>
      <c r="H126" s="15" t="str">
        <f>Sheet1!H154</f>
        <v>Bondowoso</v>
      </c>
      <c r="I126" s="17">
        <f>Sheet1!I154</f>
        <v>39398</v>
      </c>
      <c r="J126" s="14" t="str">
        <f>Sheet1!J154</f>
        <v>B 11</v>
      </c>
      <c r="K126" s="16" t="str">
        <f>Sheet1!K154</f>
        <v>Tlogosari - Tlogosari - Bondowoso</v>
      </c>
      <c r="L126" s="16" t="str">
        <f>Sheet1!L154</f>
        <v>Luluk Arifin</v>
      </c>
      <c r="M126" s="16" t="str">
        <f>Sheet1!M154</f>
        <v>Fitriyatin</v>
      </c>
      <c r="N126" s="16" t="str">
        <f ca="1">Sheet1!N154</f>
        <v>17 Tahun, 1 Bulan, 9 Hari</v>
      </c>
      <c r="O126" s="16"/>
      <c r="P126" s="16"/>
    </row>
    <row r="127" spans="1:16" hidden="1" x14ac:dyDescent="0.25">
      <c r="A127" s="13">
        <f>Sheet1!A155</f>
        <v>154</v>
      </c>
      <c r="B127" s="14">
        <v>67</v>
      </c>
      <c r="C127" s="16">
        <f>Sheet1!C155</f>
        <v>0</v>
      </c>
      <c r="D127" s="14" t="str">
        <f>Sheet1!D155</f>
        <v>4B</v>
      </c>
      <c r="E127" s="14" t="str">
        <f>Sheet1!E155</f>
        <v>Ula</v>
      </c>
      <c r="F127" s="16">
        <f>Sheet1!F155</f>
        <v>3712</v>
      </c>
      <c r="G127" s="16" t="str">
        <f>Sheet1!G155</f>
        <v>Muhammad Ilham Robbi</v>
      </c>
      <c r="H127" s="15" t="str">
        <f>Sheet1!H155</f>
        <v>Bondowoso,</v>
      </c>
      <c r="I127" s="17">
        <f>Sheet1!I155</f>
        <v>39123</v>
      </c>
      <c r="J127" s="14" t="str">
        <f>Sheet1!J155</f>
        <v>B 12</v>
      </c>
      <c r="K127" s="16" t="str">
        <f>Sheet1!K155</f>
        <v>Randu Cangkring 011/002 Randu Cangkring Pujer Bondowoso Jawa Timur</v>
      </c>
      <c r="L127" s="16" t="str">
        <f>Sheet1!L155</f>
        <v>Abdul Hamid</v>
      </c>
      <c r="M127" s="16" t="str">
        <f>Sheet1!M155</f>
        <v>Wiwik Asiska</v>
      </c>
      <c r="N127" s="16" t="str">
        <f ca="1">Sheet1!N155</f>
        <v>17 Tahun, 10 Bulan, 11 Hari</v>
      </c>
      <c r="O127" s="16"/>
      <c r="P127" s="16"/>
    </row>
    <row r="128" spans="1:16" hidden="1" x14ac:dyDescent="0.25">
      <c r="A128" s="13">
        <f>Sheet1!A156</f>
        <v>155</v>
      </c>
      <c r="B128" s="14">
        <v>68</v>
      </c>
      <c r="C128" s="16" t="str">
        <f>Sheet1!C156</f>
        <v>3 SMA</v>
      </c>
      <c r="D128" s="14" t="str">
        <f>Sheet1!D156</f>
        <v>3A</v>
      </c>
      <c r="E128" s="14" t="str">
        <f>Sheet1!E156</f>
        <v>Wustha</v>
      </c>
      <c r="F128" s="16">
        <f>Sheet1!F156</f>
        <v>3194</v>
      </c>
      <c r="G128" s="16" t="str">
        <f>Sheet1!G156</f>
        <v>Miftahul Arifin</v>
      </c>
      <c r="H128" s="15" t="str">
        <f>Sheet1!H156</f>
        <v>Bondowoso</v>
      </c>
      <c r="I128" s="17">
        <f>Sheet1!I156</f>
        <v>38758</v>
      </c>
      <c r="J128" s="14" t="str">
        <f>Sheet1!J156</f>
        <v>B 12</v>
      </c>
      <c r="K128" s="16" t="str">
        <f>Sheet1!K156</f>
        <v>Pakauman Grujugan Bondowoso</v>
      </c>
      <c r="L128" s="16" t="str">
        <f>Sheet1!L156</f>
        <v>Busiri</v>
      </c>
      <c r="M128" s="16" t="str">
        <f>Sheet1!M156</f>
        <v>Solehati</v>
      </c>
      <c r="N128" s="16" t="str">
        <f ca="1">Sheet1!N156</f>
        <v>18 Tahun, 10 Bulan, 11 Hari</v>
      </c>
      <c r="O128" s="16"/>
      <c r="P128" s="16"/>
    </row>
    <row r="129" spans="1:16" hidden="1" x14ac:dyDescent="0.25">
      <c r="A129" s="13">
        <f>Sheet1!A157</f>
        <v>156</v>
      </c>
      <c r="B129" s="14">
        <v>69</v>
      </c>
      <c r="C129" s="16">
        <f>Sheet1!C157</f>
        <v>0</v>
      </c>
      <c r="D129" s="14" t="str">
        <f>Sheet1!D157</f>
        <v>2A</v>
      </c>
      <c r="E129" s="14" t="str">
        <f>Sheet1!E157</f>
        <v>Ulya</v>
      </c>
      <c r="F129" s="16">
        <f>Sheet1!F157</f>
        <v>1582</v>
      </c>
      <c r="G129" s="16" t="str">
        <f>Sheet1!G157</f>
        <v>Muhammad Imam Udaifin</v>
      </c>
      <c r="H129" s="15" t="str">
        <f>Sheet1!H157</f>
        <v>Bondowoso</v>
      </c>
      <c r="I129" s="17" t="str">
        <f>Sheet1!I157</f>
        <v>14 Maret 2005</v>
      </c>
      <c r="J129" s="14" t="str">
        <f>Sheet1!J157</f>
        <v>B 13</v>
      </c>
      <c r="K129" s="16" t="str">
        <f>Sheet1!K157</f>
        <v>Pakisan, Rt 021/Rw 004, , Kec.Tlogosari, Kab.Bondowoso</v>
      </c>
      <c r="L129" s="16" t="str">
        <f>Sheet1!L157</f>
        <v>Tosi</v>
      </c>
      <c r="M129" s="16" t="str">
        <f>Sheet1!M157</f>
        <v>Holipah</v>
      </c>
      <c r="N129" s="16" t="str">
        <f ca="1">Sheet1!N157</f>
        <v>19 Tahun, 9 Bulan, 7 Hari</v>
      </c>
      <c r="O129" s="16"/>
      <c r="P129" s="16"/>
    </row>
    <row r="130" spans="1:16" hidden="1" x14ac:dyDescent="0.25">
      <c r="A130" s="13">
        <f>Sheet1!A158</f>
        <v>157</v>
      </c>
      <c r="B130" s="14">
        <v>70</v>
      </c>
      <c r="C130" s="16">
        <f>Sheet1!C158</f>
        <v>0</v>
      </c>
      <c r="D130" s="14" t="str">
        <f>Sheet1!D158</f>
        <v>2A</v>
      </c>
      <c r="E130" s="14" t="str">
        <f>Sheet1!E158</f>
        <v>Ulya</v>
      </c>
      <c r="F130" s="16">
        <f>Sheet1!F158</f>
        <v>1609</v>
      </c>
      <c r="G130" s="16" t="str">
        <f>Sheet1!G158</f>
        <v xml:space="preserve">Royhan </v>
      </c>
      <c r="H130" s="15" t="str">
        <f>Sheet1!H158</f>
        <v>Bondowoso</v>
      </c>
      <c r="I130" s="17" t="str">
        <f>Sheet1!I158</f>
        <v>21 September 2004</v>
      </c>
      <c r="J130" s="14" t="str">
        <f>Sheet1!J158</f>
        <v>B 13</v>
      </c>
      <c r="K130" s="16" t="str">
        <f>Sheet1!K158</f>
        <v>Trotosari, Rt 009 / Rw 003, , Kec. Tlogosari, Kab.Bondowoso</v>
      </c>
      <c r="L130" s="16" t="str">
        <f>Sheet1!L158</f>
        <v>Misbah</v>
      </c>
      <c r="M130" s="16" t="str">
        <f>Sheet1!M158</f>
        <v>Ulfa Hasanah</v>
      </c>
      <c r="N130" s="16" t="str">
        <f ca="1">Sheet1!N158</f>
        <v>20 Tahun, 3 Bulan, 0 Hari</v>
      </c>
      <c r="O130" s="16"/>
      <c r="P130" s="16"/>
    </row>
    <row r="131" spans="1:16" hidden="1" x14ac:dyDescent="0.25">
      <c r="A131" s="13">
        <f>Sheet1!A159</f>
        <v>158</v>
      </c>
      <c r="B131" s="14">
        <v>71</v>
      </c>
      <c r="C131" s="16">
        <f>Sheet1!C159</f>
        <v>0</v>
      </c>
      <c r="D131" s="14" t="str">
        <f>Sheet1!D159</f>
        <v>2A</v>
      </c>
      <c r="E131" s="14" t="str">
        <f>Sheet1!E159</f>
        <v>Ulya</v>
      </c>
      <c r="F131" s="16">
        <f>Sheet1!F159</f>
        <v>1589</v>
      </c>
      <c r="G131" s="16" t="str">
        <f>Sheet1!G159</f>
        <v>Muhammad Nafik Maulana Ibrohim</v>
      </c>
      <c r="H131" s="15" t="str">
        <f>Sheet1!H159</f>
        <v>Bondowoso</v>
      </c>
      <c r="I131" s="17" t="str">
        <f>Sheet1!I159</f>
        <v>21 Februari 2003</v>
      </c>
      <c r="J131" s="14" t="str">
        <f>Sheet1!J159</f>
        <v>B 13</v>
      </c>
      <c r="K131" s="16" t="str">
        <f>Sheet1!K159</f>
        <v>Trotosari, Rt 007 / Rw 002, , Kec. Tlogosari, Kab.Bondowoso</v>
      </c>
      <c r="L131" s="16" t="str">
        <f>Sheet1!L159</f>
        <v>Muhammad Soarji</v>
      </c>
      <c r="M131" s="16" t="str">
        <f>Sheet1!M159</f>
        <v>Sunarifah</v>
      </c>
      <c r="N131" s="16" t="str">
        <f ca="1">Sheet1!N159</f>
        <v>21 Tahun, 10 Bulan, 0 Hari</v>
      </c>
      <c r="O131" s="16"/>
      <c r="P131" s="16"/>
    </row>
    <row r="132" spans="1:16" hidden="1" x14ac:dyDescent="0.25">
      <c r="A132" s="13">
        <f>Sheet1!A160</f>
        <v>159</v>
      </c>
      <c r="B132" s="14">
        <v>72</v>
      </c>
      <c r="C132" s="16">
        <f>Sheet1!C160</f>
        <v>0</v>
      </c>
      <c r="D132" s="14" t="str">
        <f>Sheet1!D160</f>
        <v>2C</v>
      </c>
      <c r="E132" s="14" t="str">
        <f>Sheet1!E160</f>
        <v>Ulya</v>
      </c>
      <c r="F132" s="16">
        <f>Sheet1!F160</f>
        <v>1618</v>
      </c>
      <c r="G132" s="16" t="str">
        <f>Sheet1!G160</f>
        <v>Wildan Khoezenol Asror</v>
      </c>
      <c r="H132" s="15" t="str">
        <f>Sheet1!H160</f>
        <v>Jember</v>
      </c>
      <c r="I132" s="17" t="str">
        <f>Sheet1!I160</f>
        <v>14 Februari 2004</v>
      </c>
      <c r="J132" s="14" t="str">
        <f>Sheet1!J160</f>
        <v>B 13</v>
      </c>
      <c r="K132" s="16" t="str">
        <f>Sheet1!K160</f>
        <v>Jl.Cumi - cumi, Rt 003/Rw 011, Desa Mencek, Kec. Sukorambi, Kab. Jember</v>
      </c>
      <c r="L132" s="16" t="str">
        <f>Sheet1!L160</f>
        <v>moh.zahrawi musa</v>
      </c>
      <c r="M132" s="16" t="str">
        <f>Sheet1!M160</f>
        <v>mardiyah</v>
      </c>
      <c r="N132" s="16" t="str">
        <f ca="1">Sheet1!N160</f>
        <v>20 Tahun, 10 Bulan, 7 Hari</v>
      </c>
      <c r="O132" s="16"/>
      <c r="P132" s="16"/>
    </row>
    <row r="133" spans="1:16" hidden="1" x14ac:dyDescent="0.25">
      <c r="A133" s="13">
        <f>Sheet1!A161</f>
        <v>160</v>
      </c>
      <c r="B133" s="14">
        <v>73</v>
      </c>
      <c r="C133" s="16">
        <f>Sheet1!C161</f>
        <v>0</v>
      </c>
      <c r="D133" s="14" t="str">
        <f>Sheet1!D161</f>
        <v>3B</v>
      </c>
      <c r="E133" s="14" t="str">
        <f>Sheet1!E161</f>
        <v>Wustha</v>
      </c>
      <c r="F133" s="16">
        <f>Sheet1!F161</f>
        <v>2776</v>
      </c>
      <c r="G133" s="16" t="str">
        <f>Sheet1!G161</f>
        <v>Muhammad Fikri</v>
      </c>
      <c r="H133" s="15" t="str">
        <f>Sheet1!H161</f>
        <v>Bondowoso</v>
      </c>
      <c r="I133" s="17">
        <f>Sheet1!I161</f>
        <v>39318</v>
      </c>
      <c r="J133" s="14" t="str">
        <f>Sheet1!J161</f>
        <v>B 13</v>
      </c>
      <c r="K133" s="16" t="str">
        <f>Sheet1!K161</f>
        <v>Sulek-Tlogosari-Bondowoso</v>
      </c>
      <c r="L133" s="16" t="str">
        <f>Sheet1!L161</f>
        <v>Mistur</v>
      </c>
      <c r="M133" s="16" t="str">
        <f>Sheet1!M161</f>
        <v>Holkiyah</v>
      </c>
      <c r="N133" s="16" t="str">
        <f ca="1">Sheet1!N161</f>
        <v>17 Tahun, 3 Bulan, 27 Hari</v>
      </c>
      <c r="O133" s="16"/>
      <c r="P133" s="16"/>
    </row>
    <row r="134" spans="1:16" hidden="1" x14ac:dyDescent="0.25">
      <c r="A134" s="13">
        <f>Sheet1!A162</f>
        <v>161</v>
      </c>
      <c r="B134" s="14">
        <v>74</v>
      </c>
      <c r="C134" s="16" t="str">
        <f>Sheet1!C162</f>
        <v>3 SMA</v>
      </c>
      <c r="D134" s="14" t="str">
        <f>Sheet1!D162</f>
        <v>2C</v>
      </c>
      <c r="E134" s="14" t="str">
        <f>Sheet1!E162</f>
        <v>Wustha</v>
      </c>
      <c r="F134" s="16">
        <f>Sheet1!F162</f>
        <v>3290</v>
      </c>
      <c r="G134" s="16" t="str">
        <f>Sheet1!G162</f>
        <v>Anasrullah</v>
      </c>
      <c r="H134" s="15" t="str">
        <f>Sheet1!H162</f>
        <v>Bondowoso</v>
      </c>
      <c r="I134" s="17" t="str">
        <f>Sheet1!I162</f>
        <v>11 Juli 2007</v>
      </c>
      <c r="J134" s="14" t="str">
        <f>Sheet1!J162</f>
        <v>B 13</v>
      </c>
      <c r="K134" s="16" t="str">
        <f>Sheet1!K162</f>
        <v>Maskuning Wetan - Pujer - Bondowoso</v>
      </c>
      <c r="L134" s="16" t="str">
        <f>Sheet1!L162</f>
        <v>Dahlan</v>
      </c>
      <c r="M134" s="16" t="str">
        <f>Sheet1!M162</f>
        <v>Hidayati</v>
      </c>
      <c r="N134" s="16" t="str">
        <f ca="1">Sheet1!N162</f>
        <v>17 Tahun, 5 Bulan, 10 Hari</v>
      </c>
      <c r="O134" s="16"/>
      <c r="P134" s="16"/>
    </row>
    <row r="135" spans="1:16" hidden="1" x14ac:dyDescent="0.25">
      <c r="A135" s="13">
        <f>Sheet1!A163</f>
        <v>162</v>
      </c>
      <c r="B135" s="14">
        <v>75</v>
      </c>
      <c r="C135" s="16" t="str">
        <f>Sheet1!C163</f>
        <v>2 SMA</v>
      </c>
      <c r="D135" s="14" t="str">
        <f>Sheet1!D163</f>
        <v>3D</v>
      </c>
      <c r="E135" s="14" t="str">
        <f>Sheet1!E163</f>
        <v>Wustha</v>
      </c>
      <c r="F135" s="16">
        <f>Sheet1!F163</f>
        <v>2821</v>
      </c>
      <c r="G135" s="16" t="str">
        <f>Sheet1!G163</f>
        <v>Mohammad Fadil Basori</v>
      </c>
      <c r="H135" s="15" t="str">
        <f>Sheet1!H163</f>
        <v>Bondowoso</v>
      </c>
      <c r="I135" s="17">
        <f>Sheet1!I163</f>
        <v>39166</v>
      </c>
      <c r="J135" s="14" t="str">
        <f>Sheet1!J163</f>
        <v>B 13</v>
      </c>
      <c r="K135" s="16" t="str">
        <f>Sheet1!K163</f>
        <v>Gunosari-Tlogosari-Bondowoso</v>
      </c>
      <c r="L135" s="16" t="str">
        <f>Sheet1!L163</f>
        <v>MAHFUD ALI</v>
      </c>
      <c r="M135" s="16" t="str">
        <f>Sheet1!M163</f>
        <v>NIKHEN YULIYASARI</v>
      </c>
      <c r="N135" s="16" t="str">
        <f ca="1">Sheet1!N163</f>
        <v>17 Tahun, 8 Bulan, 26 Hari</v>
      </c>
      <c r="O135" s="16"/>
      <c r="P135" s="16"/>
    </row>
    <row r="136" spans="1:16" hidden="1" x14ac:dyDescent="0.25">
      <c r="A136" s="13">
        <f>Sheet1!A165</f>
        <v>164</v>
      </c>
      <c r="B136" s="14">
        <v>76</v>
      </c>
      <c r="C136" s="16">
        <f>Sheet1!C165</f>
        <v>0</v>
      </c>
      <c r="D136" s="14" t="str">
        <f>Sheet1!D165</f>
        <v>6C</v>
      </c>
      <c r="E136" s="14" t="str">
        <f>Sheet1!E165</f>
        <v>Ula</v>
      </c>
      <c r="F136" s="16">
        <f>Sheet1!F165</f>
        <v>3239</v>
      </c>
      <c r="G136" s="16" t="str">
        <f>Sheet1!G165</f>
        <v>Muhammad Bagir</v>
      </c>
      <c r="H136" s="15" t="str">
        <f>Sheet1!H165</f>
        <v>Bondowoso,</v>
      </c>
      <c r="I136" s="17">
        <f>Sheet1!I165</f>
        <v>39341</v>
      </c>
      <c r="J136" s="14" t="str">
        <f>Sheet1!J165</f>
        <v>B 14</v>
      </c>
      <c r="K136" s="16" t="str">
        <f>Sheet1!K165</f>
        <v>Jebung Kidul 001/001 Jebung Kidul Tlogosari Bondowoso Jawa Timur</v>
      </c>
      <c r="L136" s="16" t="str">
        <f>Sheet1!L165</f>
        <v>Ahmadi</v>
      </c>
      <c r="M136" s="16" t="str">
        <f>Sheet1!M165</f>
        <v>Munawwaroh</v>
      </c>
      <c r="N136" s="16" t="str">
        <f ca="1">Sheet1!N165</f>
        <v>17 Tahun, 3 Bulan, 5 Hari</v>
      </c>
      <c r="O136" s="16"/>
      <c r="P136" s="16"/>
    </row>
    <row r="137" spans="1:16" hidden="1" x14ac:dyDescent="0.25">
      <c r="A137" s="13">
        <f>Sheet1!A166</f>
        <v>165</v>
      </c>
      <c r="B137" s="14">
        <v>77</v>
      </c>
      <c r="C137" s="16">
        <f>Sheet1!C166</f>
        <v>0</v>
      </c>
      <c r="D137" s="14" t="str">
        <f>Sheet1!D166</f>
        <v>6A</v>
      </c>
      <c r="E137" s="14" t="str">
        <f>Sheet1!E166</f>
        <v>Ula</v>
      </c>
      <c r="F137" s="16">
        <f>Sheet1!F166</f>
        <v>3000</v>
      </c>
      <c r="G137" s="16" t="str">
        <f>Sheet1!G166</f>
        <v>Muhammad Ferdiansah</v>
      </c>
      <c r="H137" s="15" t="str">
        <f>Sheet1!H166</f>
        <v>Bondowoso,</v>
      </c>
      <c r="I137" s="17">
        <f>Sheet1!I166</f>
        <v>39174</v>
      </c>
      <c r="J137" s="14" t="str">
        <f>Sheet1!J166</f>
        <v>B 14</v>
      </c>
      <c r="K137" s="16" t="str">
        <f>Sheet1!K166</f>
        <v>Mangli 013/003 Mangli Pujer Bondowoso Jawa Timur</v>
      </c>
      <c r="L137" s="16" t="str">
        <f>Sheet1!L166</f>
        <v>Abd. Syukur</v>
      </c>
      <c r="M137" s="16" t="str">
        <f>Sheet1!M166</f>
        <v>Juairiyah</v>
      </c>
      <c r="N137" s="16" t="str">
        <f ca="1">Sheet1!N166</f>
        <v>17 Tahun, 8 Bulan, 19 Hari</v>
      </c>
      <c r="O137" s="16"/>
      <c r="P137" s="16"/>
    </row>
    <row r="138" spans="1:16" hidden="1" x14ac:dyDescent="0.25">
      <c r="A138" s="13">
        <f>Sheet1!A167</f>
        <v>166</v>
      </c>
      <c r="B138" s="14">
        <v>78</v>
      </c>
      <c r="C138" s="16">
        <f>Sheet1!C167</f>
        <v>0</v>
      </c>
      <c r="D138" s="14" t="str">
        <f>Sheet1!D167</f>
        <v>6C</v>
      </c>
      <c r="E138" s="14" t="str">
        <f>Sheet1!E167</f>
        <v>Ula</v>
      </c>
      <c r="F138" s="16">
        <f>Sheet1!F167</f>
        <v>3000</v>
      </c>
      <c r="G138" s="16" t="str">
        <f>Sheet1!G167</f>
        <v>Muhammad Ferdiansah</v>
      </c>
      <c r="H138" s="15" t="str">
        <f>Sheet1!H167</f>
        <v>Bondowoso,</v>
      </c>
      <c r="I138" s="17">
        <f>Sheet1!I167</f>
        <v>39174</v>
      </c>
      <c r="J138" s="14" t="str">
        <f>Sheet1!J167</f>
        <v>B 14</v>
      </c>
      <c r="K138" s="16" t="str">
        <f>Sheet1!K167</f>
        <v>Mangli 013/003 Mangli Pujer Bondowoso Jawa Timur</v>
      </c>
      <c r="L138" s="16" t="str">
        <f>Sheet1!L167</f>
        <v>Ahmad</v>
      </c>
      <c r="M138" s="16" t="str">
        <f>Sheet1!M167</f>
        <v>Muzayyanah</v>
      </c>
      <c r="N138" s="16" t="str">
        <f ca="1">Sheet1!N167</f>
        <v>17 Tahun, 8 Bulan, 19 Hari</v>
      </c>
      <c r="O138" s="16"/>
      <c r="P138" s="16"/>
    </row>
    <row r="139" spans="1:16" hidden="1" x14ac:dyDescent="0.25">
      <c r="A139" s="13">
        <f>Sheet1!A168</f>
        <v>167</v>
      </c>
      <c r="B139" s="14">
        <v>79</v>
      </c>
      <c r="C139" s="16">
        <f>Sheet1!C168</f>
        <v>0</v>
      </c>
      <c r="D139" s="14" t="str">
        <f>Sheet1!D168</f>
        <v>2A</v>
      </c>
      <c r="E139" s="14" t="str">
        <f>Sheet1!E168</f>
        <v>Ulya</v>
      </c>
      <c r="F139" s="16">
        <f>Sheet1!F168</f>
        <v>1566</v>
      </c>
      <c r="G139" s="16" t="str">
        <f>Sheet1!G168</f>
        <v>Mohammad Riski</v>
      </c>
      <c r="H139" s="15" t="str">
        <f>Sheet1!H168</f>
        <v>Bondowoso</v>
      </c>
      <c r="I139" s="17" t="str">
        <f>Sheet1!I168</f>
        <v>05 Desember 2006</v>
      </c>
      <c r="J139" s="14" t="str">
        <f>Sheet1!J168</f>
        <v>B 14</v>
      </c>
      <c r="K139" s="16" t="str">
        <f>Sheet1!K168</f>
        <v>Mangli, Rt 002/ Rw 001, , Kec.Pujer, Kab.Bondowoso</v>
      </c>
      <c r="L139" s="16" t="str">
        <f>Sheet1!L168</f>
        <v>Usman</v>
      </c>
      <c r="M139" s="16" t="str">
        <f>Sheet1!M168</f>
        <v>Siti Turmina</v>
      </c>
      <c r="N139" s="16" t="str">
        <f ca="1">Sheet1!N168</f>
        <v>18 Tahun, 0 Bulan, 16 Hari</v>
      </c>
      <c r="O139" s="16"/>
      <c r="P139" s="16"/>
    </row>
    <row r="140" spans="1:16" hidden="1" x14ac:dyDescent="0.25">
      <c r="A140" s="13">
        <f>Sheet1!A169</f>
        <v>168</v>
      </c>
      <c r="B140" s="14">
        <v>80</v>
      </c>
      <c r="C140" s="16">
        <f>Sheet1!C169</f>
        <v>0</v>
      </c>
      <c r="D140" s="14">
        <f>Sheet1!D169</f>
        <v>1</v>
      </c>
      <c r="E140" s="14" t="str">
        <f>Sheet1!E169</f>
        <v>Ulya</v>
      </c>
      <c r="F140" s="16">
        <f>Sheet1!F169</f>
        <v>2905</v>
      </c>
      <c r="G140" s="16" t="str">
        <f>Sheet1!G169</f>
        <v xml:space="preserve">Moch. Aqil Mubarok </v>
      </c>
      <c r="H140" s="15" t="str">
        <f>Sheet1!H169</f>
        <v>Bondowoso</v>
      </c>
      <c r="I140" s="17">
        <f>Sheet1!I169</f>
        <v>38322</v>
      </c>
      <c r="J140" s="14" t="str">
        <f>Sheet1!J169</f>
        <v>B 14</v>
      </c>
      <c r="K140" s="16" t="str">
        <f>Sheet1!K169</f>
        <v>Mangli Timur</v>
      </c>
      <c r="L140" s="16" t="str">
        <f>Sheet1!L169</f>
        <v>Abdul Manab</v>
      </c>
      <c r="M140" s="16" t="str">
        <f>Sheet1!M169</f>
        <v>Munipa</v>
      </c>
      <c r="N140" s="16" t="str">
        <f ca="1">Sheet1!N169</f>
        <v>20 Tahun, 0 Bulan, 20 Hari</v>
      </c>
      <c r="O140" s="16"/>
      <c r="P140" s="16"/>
    </row>
    <row r="141" spans="1:16" hidden="1" x14ac:dyDescent="0.25">
      <c r="A141" s="13">
        <f>Sheet1!A170</f>
        <v>169</v>
      </c>
      <c r="B141" s="14">
        <v>81</v>
      </c>
      <c r="C141" s="16">
        <f>Sheet1!C170</f>
        <v>0</v>
      </c>
      <c r="D141" s="14">
        <f>Sheet1!D170</f>
        <v>1</v>
      </c>
      <c r="E141" s="14" t="str">
        <f>Sheet1!E170</f>
        <v>Ulya</v>
      </c>
      <c r="F141" s="16">
        <f>Sheet1!F170</f>
        <v>2488</v>
      </c>
      <c r="G141" s="16" t="str">
        <f>Sheet1!G170</f>
        <v>Muhammad Abrori Ananta</v>
      </c>
      <c r="H141" s="15" t="str">
        <f>Sheet1!H170</f>
        <v>Bondowoso</v>
      </c>
      <c r="I141" s="17" t="str">
        <f>Sheet1!I170</f>
        <v>16 Mei 2005</v>
      </c>
      <c r="J141" s="14" t="str">
        <f>Sheet1!J170</f>
        <v>B 14</v>
      </c>
      <c r="K141" s="16" t="str">
        <f>Sheet1!K170</f>
        <v>PEJAGAN</v>
      </c>
      <c r="L141" s="16" t="str">
        <f>Sheet1!L170</f>
        <v>Hendriyanto</v>
      </c>
      <c r="M141" s="16" t="str">
        <f>Sheet1!M170</f>
        <v>Sofin Handriyani</v>
      </c>
      <c r="N141" s="16" t="str">
        <f ca="1">Sheet1!N170</f>
        <v>19 Tahun, 7 Bulan, 5 Hari</v>
      </c>
      <c r="O141" s="16"/>
      <c r="P141" s="16"/>
    </row>
    <row r="142" spans="1:16" hidden="1" x14ac:dyDescent="0.25">
      <c r="A142" s="13">
        <f>Sheet1!A171</f>
        <v>170</v>
      </c>
      <c r="B142" s="14">
        <v>82</v>
      </c>
      <c r="C142" s="16">
        <f>Sheet1!C171</f>
        <v>0</v>
      </c>
      <c r="D142" s="14">
        <f>Sheet1!D171</f>
        <v>1</v>
      </c>
      <c r="E142" s="14" t="str">
        <f>Sheet1!E171</f>
        <v>Ulya</v>
      </c>
      <c r="F142" s="16">
        <f>Sheet1!F171</f>
        <v>2457</v>
      </c>
      <c r="G142" s="16" t="str">
        <f>Sheet1!G171</f>
        <v>Andre Maulana Nurul Yaqin</v>
      </c>
      <c r="H142" s="15" t="str">
        <f>Sheet1!H171</f>
        <v>Bondowoso</v>
      </c>
      <c r="I142" s="17" t="str">
        <f>Sheet1!I171</f>
        <v>05 Februari 2005</v>
      </c>
      <c r="J142" s="14" t="str">
        <f>Sheet1!J171</f>
        <v>B 14</v>
      </c>
      <c r="K142" s="16" t="str">
        <f>Sheet1!K171</f>
        <v>Mangli-pujer-bondowoso</v>
      </c>
      <c r="L142" s="16" t="str">
        <f>Sheet1!L171</f>
        <v>Sufyan</v>
      </c>
      <c r="M142" s="16" t="str">
        <f>Sheet1!M171</f>
        <v>Azizah</v>
      </c>
      <c r="N142" s="16" t="str">
        <f ca="1">Sheet1!N171</f>
        <v>19 Tahun, 10 Bulan, 16 Hari</v>
      </c>
      <c r="O142" s="16"/>
      <c r="P142" s="16"/>
    </row>
    <row r="143" spans="1:16" hidden="1" x14ac:dyDescent="0.25">
      <c r="A143" s="13">
        <f>Sheet1!A172</f>
        <v>171</v>
      </c>
      <c r="B143" s="14">
        <v>83</v>
      </c>
      <c r="C143" s="16">
        <f>Sheet1!C172</f>
        <v>0</v>
      </c>
      <c r="D143" s="14" t="str">
        <f>Sheet1!D172</f>
        <v>2A</v>
      </c>
      <c r="E143" s="14" t="str">
        <f>Sheet1!E172</f>
        <v>Ulya</v>
      </c>
      <c r="F143" s="16">
        <f>Sheet1!F172</f>
        <v>1554</v>
      </c>
      <c r="G143" s="16" t="str">
        <f>Sheet1!G172</f>
        <v>M. Chairus Sholeh</v>
      </c>
      <c r="H143" s="15" t="str">
        <f>Sheet1!H172</f>
        <v>Bondowoso</v>
      </c>
      <c r="I143" s="17" t="str">
        <f>Sheet1!I172</f>
        <v>27 April 2004</v>
      </c>
      <c r="J143" s="14" t="str">
        <f>Sheet1!J172</f>
        <v>B 14</v>
      </c>
      <c r="K143" s="16" t="str">
        <f>Sheet1!K172</f>
        <v>Jebung Kidul, , , Kec. Tlogosari, Kab. Bondowoso</v>
      </c>
      <c r="L143" s="16" t="str">
        <f>Sheet1!L172</f>
        <v>Safiudin</v>
      </c>
      <c r="M143" s="16" t="str">
        <f>Sheet1!M172</f>
        <v>Iswantini</v>
      </c>
      <c r="N143" s="16" t="str">
        <f ca="1">Sheet1!N172</f>
        <v>20 Tahun, 7 Bulan, 24 Hari</v>
      </c>
      <c r="O143" s="16"/>
      <c r="P143" s="16"/>
    </row>
    <row r="144" spans="1:16" hidden="1" x14ac:dyDescent="0.25">
      <c r="A144" s="13">
        <f>Sheet1!A173</f>
        <v>172</v>
      </c>
      <c r="B144" s="14">
        <v>84</v>
      </c>
      <c r="C144" s="16">
        <f>Sheet1!C173</f>
        <v>0</v>
      </c>
      <c r="D144" s="14" t="str">
        <f>Sheet1!D173</f>
        <v>2C</v>
      </c>
      <c r="E144" s="14" t="str">
        <f>Sheet1!E173</f>
        <v>Ulya</v>
      </c>
      <c r="F144" s="16">
        <f>Sheet1!F173</f>
        <v>1616</v>
      </c>
      <c r="G144" s="16" t="str">
        <f>Sheet1!G173</f>
        <v>Umar Faruk</v>
      </c>
      <c r="H144" s="15" t="str">
        <f>Sheet1!H173</f>
        <v>Jember</v>
      </c>
      <c r="I144" s="17" t="str">
        <f>Sheet1!I173</f>
        <v>8 September 2004</v>
      </c>
      <c r="J144" s="14" t="str">
        <f>Sheet1!J173</f>
        <v>B 14</v>
      </c>
      <c r="K144" s="16" t="str">
        <f>Sheet1!K173</f>
        <v>Pringgondani, , , Sumber Jambe, Jember</v>
      </c>
      <c r="L144" s="16" t="str">
        <f>Sheet1!L173</f>
        <v>Puryanto</v>
      </c>
      <c r="M144" s="16" t="str">
        <f>Sheet1!M173</f>
        <v>Hamida</v>
      </c>
      <c r="N144" s="16" t="str">
        <f ca="1">Sheet1!N173</f>
        <v>20 Tahun, 3 Bulan, 13 Hari</v>
      </c>
      <c r="O144" s="16"/>
      <c r="P144" s="16"/>
    </row>
    <row r="145" spans="1:16" hidden="1" x14ac:dyDescent="0.25">
      <c r="A145" s="13">
        <f>Sheet1!A174</f>
        <v>173</v>
      </c>
      <c r="B145" s="14">
        <v>85</v>
      </c>
      <c r="C145" s="16" t="str">
        <f>Sheet1!C174</f>
        <v>STAI</v>
      </c>
      <c r="D145" s="14" t="str">
        <f>Sheet1!D174</f>
        <v>3D</v>
      </c>
      <c r="E145" s="14" t="str">
        <f>Sheet1!E174</f>
        <v>Wustha</v>
      </c>
      <c r="F145" s="16">
        <f>Sheet1!F174</f>
        <v>2893</v>
      </c>
      <c r="G145" s="16" t="str">
        <f>Sheet1!G174</f>
        <v xml:space="preserve">Royhan </v>
      </c>
      <c r="H145" s="15" t="str">
        <f>Sheet1!H174</f>
        <v>Bondowoso</v>
      </c>
      <c r="I145" s="17">
        <f>Sheet1!I174</f>
        <v>38771</v>
      </c>
      <c r="J145" s="14" t="str">
        <f>Sheet1!J174</f>
        <v>B 14</v>
      </c>
      <c r="K145" s="16" t="str">
        <f>Sheet1!K174</f>
        <v>Brambang Darussalam-Tlogosari-Bondowoso</v>
      </c>
      <c r="L145" s="16" t="str">
        <f>Sheet1!L174</f>
        <v>Ripin</v>
      </c>
      <c r="M145" s="16" t="str">
        <f>Sheet1!M174</f>
        <v>Suparmi</v>
      </c>
      <c r="N145" s="16" t="str">
        <f ca="1">Sheet1!N174</f>
        <v>18 Tahun, 9 Bulan, 28 Hari</v>
      </c>
      <c r="O145" s="16"/>
      <c r="P145" s="16"/>
    </row>
    <row r="146" spans="1:16" hidden="1" x14ac:dyDescent="0.25">
      <c r="A146" s="13">
        <f>Sheet1!A176</f>
        <v>175</v>
      </c>
      <c r="B146" s="14">
        <v>86</v>
      </c>
      <c r="C146" s="16">
        <f>Sheet1!C176</f>
        <v>0</v>
      </c>
      <c r="D146" s="14">
        <f>Sheet1!D176</f>
        <v>1</v>
      </c>
      <c r="E146" s="14" t="str">
        <f>Sheet1!E176</f>
        <v>Ulya</v>
      </c>
      <c r="F146" s="16">
        <f>Sheet1!F176</f>
        <v>2547</v>
      </c>
      <c r="G146" s="16" t="str">
        <f>Sheet1!G176</f>
        <v>Zainul Ahsan</v>
      </c>
      <c r="H146" s="15" t="str">
        <f>Sheet1!H176</f>
        <v>Bondowoso</v>
      </c>
      <c r="I146" s="17" t="str">
        <f>Sheet1!I176</f>
        <v>12 September 2005</v>
      </c>
      <c r="J146" s="14" t="str">
        <f>Sheet1!J176</f>
        <v>B 15</v>
      </c>
      <c r="K146" s="16" t="str">
        <f>Sheet1!K176</f>
        <v>Pakisan</v>
      </c>
      <c r="L146" s="16" t="str">
        <f>Sheet1!L176</f>
        <v>Kamsus</v>
      </c>
      <c r="M146" s="16" t="str">
        <f>Sheet1!M176</f>
        <v>Tiswatun Hasanah</v>
      </c>
      <c r="N146" s="16" t="str">
        <f ca="1">Sheet1!N176</f>
        <v>19 Tahun, 3 Bulan, 9 Hari</v>
      </c>
      <c r="O146" s="16"/>
      <c r="P146" s="16"/>
    </row>
    <row r="147" spans="1:16" hidden="1" x14ac:dyDescent="0.25">
      <c r="A147" s="13">
        <f>Sheet1!A177</f>
        <v>176</v>
      </c>
      <c r="B147" s="14">
        <v>87</v>
      </c>
      <c r="C147" s="16">
        <f>Sheet1!C177</f>
        <v>0</v>
      </c>
      <c r="D147" s="14" t="str">
        <f>Sheet1!D177</f>
        <v>2B</v>
      </c>
      <c r="E147" s="14" t="str">
        <f>Sheet1!E177</f>
        <v>Ulya</v>
      </c>
      <c r="F147" s="16">
        <f>Sheet1!F177</f>
        <v>1581</v>
      </c>
      <c r="G147" s="16" t="str">
        <f>Sheet1!G177</f>
        <v>Muhammad Imam Assauqoni</v>
      </c>
      <c r="H147" s="15" t="str">
        <f>Sheet1!H177</f>
        <v>Bondowoso</v>
      </c>
      <c r="I147" s="17" t="str">
        <f>Sheet1!I177</f>
        <v>23 September 2003</v>
      </c>
      <c r="J147" s="14" t="str">
        <f>Sheet1!J177</f>
        <v>B 15</v>
      </c>
      <c r="K147" s="16" t="str">
        <f>Sheet1!K177</f>
        <v>Jebung Kidul, Rt 013/Rw 003, , Kec. Tlogosari, Kab. Bondowoso</v>
      </c>
      <c r="L147" s="16" t="str">
        <f>Sheet1!L177</f>
        <v>Juhrawi</v>
      </c>
      <c r="M147" s="16" t="str">
        <f>Sheet1!M177</f>
        <v>Agustin</v>
      </c>
      <c r="N147" s="16" t="str">
        <f ca="1">Sheet1!N177</f>
        <v>21 Tahun, 2 Bulan, 28 Hari</v>
      </c>
      <c r="O147" s="16"/>
      <c r="P147" s="16"/>
    </row>
    <row r="148" spans="1:16" hidden="1" x14ac:dyDescent="0.25">
      <c r="A148" s="13">
        <f>Sheet1!A178</f>
        <v>177</v>
      </c>
      <c r="B148" s="14">
        <v>88</v>
      </c>
      <c r="C148" s="16">
        <f>Sheet1!C178</f>
        <v>0</v>
      </c>
      <c r="D148" s="14" t="str">
        <f>Sheet1!D178</f>
        <v>1A</v>
      </c>
      <c r="E148" s="14" t="str">
        <f>Sheet1!E178</f>
        <v>Wustha</v>
      </c>
      <c r="F148" s="16">
        <f>Sheet1!F178</f>
        <v>3630</v>
      </c>
      <c r="G148" s="16" t="str">
        <f>Sheet1!G178</f>
        <v>Lutfiyanto</v>
      </c>
      <c r="H148" s="15" t="str">
        <f>Sheet1!H178</f>
        <v>Bondowoso</v>
      </c>
      <c r="I148" s="17" t="str">
        <f>Sheet1!I178</f>
        <v>01 Januari 2006</v>
      </c>
      <c r="J148" s="14" t="str">
        <f>Sheet1!J178</f>
        <v>B 15</v>
      </c>
      <c r="K148" s="16" t="str">
        <f>Sheet1!K178</f>
        <v>Dusun Krajan 010/003 Pejagan Jambesari Darus Sholah Bondowoso</v>
      </c>
      <c r="L148" s="16" t="str">
        <f>Sheet1!L178</f>
        <v>M. Heri</v>
      </c>
      <c r="M148" s="16" t="str">
        <f>Sheet1!M178</f>
        <v>Saedeh</v>
      </c>
      <c r="N148" s="16" t="str">
        <f ca="1">Sheet1!N178</f>
        <v>18 Tahun, 11 Bulan, 20 Hari</v>
      </c>
      <c r="O148" s="16"/>
      <c r="P148" s="16"/>
    </row>
    <row r="149" spans="1:16" hidden="1" x14ac:dyDescent="0.25">
      <c r="A149" s="13">
        <f>Sheet1!A179</f>
        <v>178</v>
      </c>
      <c r="B149" s="14">
        <v>89</v>
      </c>
      <c r="C149" s="16">
        <f>Sheet1!C179</f>
        <v>0</v>
      </c>
      <c r="D149" s="14" t="str">
        <f>Sheet1!D179</f>
        <v>6C</v>
      </c>
      <c r="E149" s="14" t="str">
        <f>Sheet1!E179</f>
        <v>Ula</v>
      </c>
      <c r="F149" s="16">
        <f>Sheet1!F179</f>
        <v>3254</v>
      </c>
      <c r="G149" s="16" t="str">
        <f>Sheet1!G179</f>
        <v>Mohammad Sevi Fawaid</v>
      </c>
      <c r="H149" s="15" t="str">
        <f>Sheet1!H179</f>
        <v>Bondowoso,</v>
      </c>
      <c r="I149" s="17">
        <f>Sheet1!I179</f>
        <v>38914</v>
      </c>
      <c r="J149" s="14" t="str">
        <f>Sheet1!J179</f>
        <v>B 16</v>
      </c>
      <c r="K149" s="16" t="str">
        <f>Sheet1!K179</f>
        <v>Dusun Krajan 007/003 Kajar Tenggarang Bondowoso Jawa Timur</v>
      </c>
      <c r="L149" s="16" t="str">
        <f>Sheet1!L179</f>
        <v>Saifullah</v>
      </c>
      <c r="M149" s="16" t="str">
        <f>Sheet1!M179</f>
        <v>Badriyah</v>
      </c>
      <c r="N149" s="16" t="str">
        <f ca="1">Sheet1!N179</f>
        <v>18 Tahun, 5 Bulan, 5 Hari</v>
      </c>
      <c r="O149" s="16"/>
      <c r="P149" s="16"/>
    </row>
    <row r="150" spans="1:16" hidden="1" x14ac:dyDescent="0.25">
      <c r="A150" s="13">
        <f>Sheet1!A180</f>
        <v>179</v>
      </c>
      <c r="B150" s="14">
        <v>90</v>
      </c>
      <c r="C150" s="16">
        <f>Sheet1!C180</f>
        <v>0</v>
      </c>
      <c r="D150" s="14">
        <f>Sheet1!D180</f>
        <v>1</v>
      </c>
      <c r="E150" s="14" t="str">
        <f>Sheet1!E180</f>
        <v>Ulya</v>
      </c>
      <c r="F150" s="16">
        <f>Sheet1!F180</f>
        <v>2467</v>
      </c>
      <c r="G150" s="16" t="str">
        <f>Sheet1!G180</f>
        <v>M. Hakiqatul Arifin</v>
      </c>
      <c r="H150" s="15" t="str">
        <f>Sheet1!H180</f>
        <v>Bondowoso</v>
      </c>
      <c r="I150" s="17" t="str">
        <f>Sheet1!I180</f>
        <v>17 Januari 2007</v>
      </c>
      <c r="J150" s="14" t="str">
        <f>Sheet1!J180</f>
        <v>B 16</v>
      </c>
      <c r="K150" s="16" t="str">
        <f>Sheet1!K180</f>
        <v>Kalianyar-tamanan-bondowoso</v>
      </c>
      <c r="L150" s="16" t="str">
        <f>Sheet1!L180</f>
        <v>Holik</v>
      </c>
      <c r="M150" s="16" t="str">
        <f>Sheet1!M180</f>
        <v>Mubliha</v>
      </c>
      <c r="N150" s="16" t="str">
        <f ca="1">Sheet1!N180</f>
        <v>17 Tahun, 11 Bulan, 4 Hari</v>
      </c>
      <c r="O150" s="16"/>
      <c r="P150" s="16"/>
    </row>
    <row r="151" spans="1:16" hidden="1" x14ac:dyDescent="0.25">
      <c r="A151" s="13">
        <f>Sheet1!A181</f>
        <v>180</v>
      </c>
      <c r="B151" s="14">
        <v>91</v>
      </c>
      <c r="C151" s="16">
        <f>Sheet1!C181</f>
        <v>0</v>
      </c>
      <c r="D151" s="14" t="str">
        <f>Sheet1!D181</f>
        <v>2C</v>
      </c>
      <c r="E151" s="14" t="str">
        <f>Sheet1!E181</f>
        <v>Ulya</v>
      </c>
      <c r="F151" s="16">
        <f>Sheet1!F181</f>
        <v>1557</v>
      </c>
      <c r="G151" s="16" t="str">
        <f>Sheet1!G181</f>
        <v>M.Suhruful Fikrul Holis</v>
      </c>
      <c r="H151" s="15" t="str">
        <f>Sheet1!H181</f>
        <v>Bondowoso</v>
      </c>
      <c r="I151" s="17" t="str">
        <f>Sheet1!I181</f>
        <v>23 Oktober 2006</v>
      </c>
      <c r="J151" s="14" t="str">
        <f>Sheet1!J181</f>
        <v>B 16</v>
      </c>
      <c r="K151" s="16" t="str">
        <f>Sheet1!K181</f>
        <v>Tegal Mijin, Rt 007/Rw 002, , Kec. Grujugan, kab. Bondowoso</v>
      </c>
      <c r="L151" s="16" t="str">
        <f>Sheet1!L181</f>
        <v>Suhriyanto</v>
      </c>
      <c r="M151" s="16" t="str">
        <f>Sheet1!M181</f>
        <v>Kiptiyeh</v>
      </c>
      <c r="N151" s="16" t="str">
        <f ca="1">Sheet1!N181</f>
        <v>18 Tahun, 1 Bulan, 28 Hari</v>
      </c>
      <c r="O151" s="16"/>
      <c r="P151" s="16"/>
    </row>
    <row r="152" spans="1:16" hidden="1" x14ac:dyDescent="0.25">
      <c r="A152" s="13">
        <f>Sheet1!A182</f>
        <v>181</v>
      </c>
      <c r="B152" s="14">
        <v>92</v>
      </c>
      <c r="C152" s="16">
        <f>Sheet1!C182</f>
        <v>0</v>
      </c>
      <c r="D152" s="14" t="str">
        <f>Sheet1!D182</f>
        <v>2C</v>
      </c>
      <c r="E152" s="14" t="str">
        <f>Sheet1!E182</f>
        <v>Ulya</v>
      </c>
      <c r="F152" s="16">
        <f>Sheet1!F182</f>
        <v>1521</v>
      </c>
      <c r="G152" s="16" t="str">
        <f>Sheet1!G182</f>
        <v>Ahmad Fitroh</v>
      </c>
      <c r="H152" s="15" t="str">
        <f>Sheet1!H182</f>
        <v>Bondowoso</v>
      </c>
      <c r="I152" s="17" t="str">
        <f>Sheet1!I182</f>
        <v>14 Oktober 2006</v>
      </c>
      <c r="J152" s="14" t="str">
        <f>Sheet1!J182</f>
        <v>B 16</v>
      </c>
      <c r="K152" s="16" t="str">
        <f>Sheet1!K182</f>
        <v xml:space="preserve">Wonosuko, Rt 015/ Rw 003, Kec.Tamanan, Kab.Bondowoso, </v>
      </c>
      <c r="L152" s="16" t="str">
        <f>Sheet1!L182</f>
        <v>Ahmad Maklub</v>
      </c>
      <c r="M152" s="16" t="str">
        <f>Sheet1!M182</f>
        <v>Lailatu Qodriyah</v>
      </c>
      <c r="N152" s="16" t="str">
        <f ca="1">Sheet1!N182</f>
        <v>18 Tahun, 2 Bulan, 7 Hari</v>
      </c>
      <c r="O152" s="16"/>
      <c r="P152" s="16"/>
    </row>
    <row r="153" spans="1:16" hidden="1" x14ac:dyDescent="0.25">
      <c r="A153" s="13">
        <f>Sheet1!A183</f>
        <v>182</v>
      </c>
      <c r="B153" s="14">
        <v>93</v>
      </c>
      <c r="C153" s="16">
        <f>Sheet1!C183</f>
        <v>0</v>
      </c>
      <c r="D153" s="14">
        <f>Sheet1!D183</f>
        <v>1</v>
      </c>
      <c r="E153" s="14" t="str">
        <f>Sheet1!E183</f>
        <v>Ulya</v>
      </c>
      <c r="F153" s="16">
        <f>Sheet1!F183</f>
        <v>2501</v>
      </c>
      <c r="G153" s="16" t="str">
        <f>Sheet1!G183</f>
        <v>Imam Syafi'i</v>
      </c>
      <c r="H153" s="15" t="str">
        <f>Sheet1!H183</f>
        <v>Bondowoso</v>
      </c>
      <c r="I153" s="17" t="str">
        <f>Sheet1!I183</f>
        <v>28 Desember 2005</v>
      </c>
      <c r="J153" s="14" t="str">
        <f>Sheet1!J183</f>
        <v>B 16</v>
      </c>
      <c r="K153" s="16" t="str">
        <f>Sheet1!K183</f>
        <v>Grujugan Lor</v>
      </c>
      <c r="L153" s="16" t="str">
        <f>Sheet1!L183</f>
        <v>Ahmad</v>
      </c>
      <c r="M153" s="16">
        <f>Sheet1!M183</f>
        <v>0</v>
      </c>
      <c r="N153" s="16" t="str">
        <f ca="1">Sheet1!N183</f>
        <v>18 Tahun, 11 Bulan, 23 Hari</v>
      </c>
      <c r="O153" s="16"/>
      <c r="P153" s="16"/>
    </row>
    <row r="154" spans="1:16" hidden="1" x14ac:dyDescent="0.25">
      <c r="A154" s="13">
        <f>Sheet1!A184</f>
        <v>183</v>
      </c>
      <c r="B154" s="14">
        <v>94</v>
      </c>
      <c r="C154" s="16">
        <f>Sheet1!C184</f>
        <v>0</v>
      </c>
      <c r="D154" s="14">
        <f>Sheet1!D184</f>
        <v>1</v>
      </c>
      <c r="E154" s="14" t="str">
        <f>Sheet1!E184</f>
        <v>Ulya</v>
      </c>
      <c r="F154" s="16">
        <f>Sheet1!F184</f>
        <v>2335</v>
      </c>
      <c r="G154" s="16" t="str">
        <f>Sheet1!G184</f>
        <v xml:space="preserve">Sunardi </v>
      </c>
      <c r="H154" s="15" t="str">
        <f>Sheet1!H184</f>
        <v>Bondowoso</v>
      </c>
      <c r="I154" s="17" t="str">
        <f>Sheet1!I184</f>
        <v>15 Agustus 2005</v>
      </c>
      <c r="J154" s="14" t="str">
        <f>Sheet1!J184</f>
        <v>B 16</v>
      </c>
      <c r="K154" s="16" t="str">
        <f>Sheet1!K184</f>
        <v>Krajan-tenggarang-bondowoso</v>
      </c>
      <c r="L154" s="16" t="str">
        <f>Sheet1!L184</f>
        <v>Sito Bin Sitab</v>
      </c>
      <c r="M154" s="16" t="str">
        <f>Sheet1!M184</f>
        <v>Sumarti</v>
      </c>
      <c r="N154" s="16" t="str">
        <f ca="1">Sheet1!N184</f>
        <v>19 Tahun, 4 Bulan, 6 Hari</v>
      </c>
      <c r="O154" s="16"/>
      <c r="P154" s="16"/>
    </row>
    <row r="155" spans="1:16" hidden="1" x14ac:dyDescent="0.25">
      <c r="A155" s="13">
        <f>Sheet1!A185</f>
        <v>184</v>
      </c>
      <c r="B155" s="14">
        <v>95</v>
      </c>
      <c r="C155" s="16">
        <f>Sheet1!C185</f>
        <v>0</v>
      </c>
      <c r="D155" s="14" t="str">
        <f>Sheet1!D185</f>
        <v>2B</v>
      </c>
      <c r="E155" s="14" t="str">
        <f>Sheet1!E185</f>
        <v>Ulya</v>
      </c>
      <c r="F155" s="16">
        <f>Sheet1!F185</f>
        <v>1608</v>
      </c>
      <c r="G155" s="16" t="str">
        <f>Sheet1!G185</f>
        <v>Rowinda Alfanah Yoga</v>
      </c>
      <c r="H155" s="15" t="str">
        <f>Sheet1!H185</f>
        <v>Bondowoso</v>
      </c>
      <c r="I155" s="17" t="str">
        <f>Sheet1!I185</f>
        <v>11 November 2004</v>
      </c>
      <c r="J155" s="14" t="str">
        <f>Sheet1!J185</f>
        <v>B 16</v>
      </c>
      <c r="K155" s="16" t="str">
        <f>Sheet1!K185</f>
        <v xml:space="preserve">Trotosari, Rt 008/ Rw 003, Kec. Tlogosari, Kab.Bondowoso, </v>
      </c>
      <c r="L155" s="16" t="str">
        <f>Sheet1!L185</f>
        <v>jasuli</v>
      </c>
      <c r="M155" s="16" t="str">
        <f>Sheet1!M185</f>
        <v>munifa</v>
      </c>
      <c r="N155" s="16" t="str">
        <f ca="1">Sheet1!N185</f>
        <v>20 Tahun, 1 Bulan, 10 Hari</v>
      </c>
      <c r="O155" s="16"/>
      <c r="P155" s="16"/>
    </row>
    <row r="156" spans="1:16" hidden="1" x14ac:dyDescent="0.25">
      <c r="A156" s="13">
        <f>Sheet1!A186</f>
        <v>185</v>
      </c>
      <c r="B156" s="14">
        <v>96</v>
      </c>
      <c r="C156" s="16" t="str">
        <f>Sheet1!C186</f>
        <v>3 SMA</v>
      </c>
      <c r="D156" s="14" t="str">
        <f>Sheet1!D186</f>
        <v>2A</v>
      </c>
      <c r="E156" s="14" t="str">
        <f>Sheet1!E186</f>
        <v>Wustha</v>
      </c>
      <c r="F156" s="16">
        <f>Sheet1!F186</f>
        <v>3759</v>
      </c>
      <c r="G156" s="16" t="str">
        <f>Sheet1!G186</f>
        <v>Ahmad Faisal Abdul Ghani</v>
      </c>
      <c r="H156" s="15" t="str">
        <f>Sheet1!H186</f>
        <v>Bondowoso</v>
      </c>
      <c r="I156" s="17" t="str">
        <f>Sheet1!I186</f>
        <v>03 september 2006</v>
      </c>
      <c r="J156" s="14" t="str">
        <f>Sheet1!J186</f>
        <v>B 16</v>
      </c>
      <c r="K156" s="16" t="str">
        <f>Sheet1!K186</f>
        <v>Kajar 01/01 Kajar -Tenggarang -Bondowoso</v>
      </c>
      <c r="L156" s="16" t="str">
        <f>Sheet1!L186</f>
        <v>Sudiyanto</v>
      </c>
      <c r="M156" s="16" t="str">
        <f>Sheet1!M186</f>
        <v>Mustiah</v>
      </c>
      <c r="N156" s="16" t="str">
        <f ca="1">Sheet1!N186</f>
        <v>18 Tahun, 3 Bulan, 18 Hari</v>
      </c>
      <c r="O156" s="16"/>
      <c r="P156" s="16"/>
    </row>
    <row r="157" spans="1:16" hidden="1" x14ac:dyDescent="0.25">
      <c r="A157" s="13">
        <f>Sheet1!A187</f>
        <v>186</v>
      </c>
      <c r="B157" s="14">
        <v>97</v>
      </c>
      <c r="C157" s="16" t="str">
        <f>Sheet1!C187</f>
        <v>3 SMA</v>
      </c>
      <c r="D157" s="14" t="str">
        <f>Sheet1!D187</f>
        <v>2C</v>
      </c>
      <c r="E157" s="14" t="str">
        <f>Sheet1!E187</f>
        <v>Wustha</v>
      </c>
      <c r="F157" s="16">
        <f>Sheet1!F187</f>
        <v>3286</v>
      </c>
      <c r="G157" s="16" t="str">
        <f>Sheet1!G187</f>
        <v>Mohammad Kholil Tolha</v>
      </c>
      <c r="H157" s="15" t="str">
        <f>Sheet1!H187</f>
        <v>Bondowoso</v>
      </c>
      <c r="I157" s="17" t="str">
        <f>Sheet1!I187</f>
        <v>06 Juli 2006</v>
      </c>
      <c r="J157" s="14" t="str">
        <f>Sheet1!J187</f>
        <v>B 16</v>
      </c>
      <c r="K157" s="16" t="str">
        <f>Sheet1!K187</f>
        <v>Lojajar 05/03 Tenggarang Bondowoso</v>
      </c>
      <c r="L157" s="16" t="str">
        <f>Sheet1!L187</f>
        <v>Supriyadi</v>
      </c>
      <c r="M157" s="16" t="str">
        <f>Sheet1!M187</f>
        <v>Damay Yanti</v>
      </c>
      <c r="N157" s="16" t="str">
        <f ca="1">Sheet1!N187</f>
        <v>18 Tahun, 5 Bulan, 15 Hari</v>
      </c>
      <c r="O157" s="16"/>
      <c r="P157" s="16"/>
    </row>
    <row r="158" spans="1:16" hidden="1" x14ac:dyDescent="0.25">
      <c r="A158" s="13">
        <f>Sheet1!A188</f>
        <v>187</v>
      </c>
      <c r="B158" s="14">
        <v>98</v>
      </c>
      <c r="C158" s="16">
        <f>Sheet1!C188</f>
        <v>0</v>
      </c>
      <c r="D158" s="14" t="str">
        <f>Sheet1!D188</f>
        <v>3B</v>
      </c>
      <c r="E158" s="14" t="str">
        <f>Sheet1!E188</f>
        <v>Wustha</v>
      </c>
      <c r="F158" s="16">
        <f>Sheet1!F188</f>
        <v>2825</v>
      </c>
      <c r="G158" s="16" t="str">
        <f>Sheet1!G188</f>
        <v>Miftahul Ulum</v>
      </c>
      <c r="H158" s="15" t="str">
        <f>Sheet1!H188</f>
        <v>Bondowoso</v>
      </c>
      <c r="I158" s="17">
        <f>Sheet1!I188</f>
        <v>37712</v>
      </c>
      <c r="J158" s="14" t="str">
        <f>Sheet1!J188</f>
        <v>B 16</v>
      </c>
      <c r="K158" s="16" t="str">
        <f>Sheet1!K188</f>
        <v>Wonosuko-Tamanan-Bondowoso</v>
      </c>
      <c r="L158" s="16" t="str">
        <f>Sheet1!L188</f>
        <v>Fathorrosi</v>
      </c>
      <c r="M158" s="16" t="str">
        <f>Sheet1!M188</f>
        <v>Suhartatik</v>
      </c>
      <c r="N158" s="16" t="str">
        <f ca="1">Sheet1!N188</f>
        <v>21 Tahun, 8 Bulan, 20 Hari</v>
      </c>
      <c r="O158" s="16"/>
      <c r="P158" s="16"/>
    </row>
    <row r="159" spans="1:16" hidden="1" x14ac:dyDescent="0.25">
      <c r="A159" s="13">
        <f>Sheet1!A189</f>
        <v>188</v>
      </c>
      <c r="B159" s="14">
        <v>99</v>
      </c>
      <c r="C159" s="16" t="str">
        <f>Sheet1!C189</f>
        <v>3 SMA</v>
      </c>
      <c r="D159" s="14" t="str">
        <f>Sheet1!D189</f>
        <v>1C</v>
      </c>
      <c r="E159" s="14" t="str">
        <f>Sheet1!E189</f>
        <v>Wustha</v>
      </c>
      <c r="F159" s="16">
        <f>Sheet1!F189</f>
        <v>3673</v>
      </c>
      <c r="G159" s="16" t="str">
        <f>Sheet1!G189</f>
        <v>Mohammad Sevi Fawaid</v>
      </c>
      <c r="H159" s="15" t="str">
        <f>Sheet1!H189</f>
        <v>Bondowoso,</v>
      </c>
      <c r="I159" s="17">
        <f>Sheet1!I189</f>
        <v>38914</v>
      </c>
      <c r="J159" s="14" t="str">
        <f>Sheet1!J189</f>
        <v>B 16</v>
      </c>
      <c r="K159" s="16" t="str">
        <f>Sheet1!K189</f>
        <v>Dusun Krajan 007/003 Kajar Tenggarang Bondowoso Jawa Timur</v>
      </c>
      <c r="L159" s="16" t="str">
        <f>Sheet1!L189</f>
        <v>Abdul Hadi</v>
      </c>
      <c r="M159" s="16" t="str">
        <f>Sheet1!M189</f>
        <v>Tija</v>
      </c>
      <c r="N159" s="16" t="str">
        <f ca="1">Sheet1!N189</f>
        <v>18 Tahun, 5 Bulan, 5 Hari</v>
      </c>
      <c r="O159" s="16"/>
      <c r="P159" s="16"/>
    </row>
    <row r="160" spans="1:16" hidden="1" x14ac:dyDescent="0.25">
      <c r="A160" s="13">
        <f>Sheet1!A190</f>
        <v>189</v>
      </c>
      <c r="B160" s="14">
        <v>100</v>
      </c>
      <c r="C160" s="16" t="str">
        <f>Sheet1!C190</f>
        <v>1 SMA</v>
      </c>
      <c r="D160" s="14" t="str">
        <f>Sheet1!D190</f>
        <v>3A</v>
      </c>
      <c r="E160" s="14" t="str">
        <f>Sheet1!E190</f>
        <v>Wustha</v>
      </c>
      <c r="F160" s="16">
        <f>Sheet1!F190</f>
        <v>2744</v>
      </c>
      <c r="G160" s="16" t="str">
        <f>Sheet1!G190</f>
        <v>Muhammad Badrus Sholeh</v>
      </c>
      <c r="H160" s="15" t="str">
        <f>Sheet1!H190</f>
        <v>Bondowoso</v>
      </c>
      <c r="I160" s="17">
        <f>Sheet1!I190</f>
        <v>39294</v>
      </c>
      <c r="J160" s="14" t="str">
        <f>Sheet1!J190</f>
        <v>B 17</v>
      </c>
      <c r="K160" s="16" t="str">
        <f>Sheet1!K190</f>
        <v>Maskuning Kulon-Pujer-Bondowoso</v>
      </c>
      <c r="L160" s="16" t="str">
        <f>Sheet1!L190</f>
        <v>Tolak Adi</v>
      </c>
      <c r="M160" s="16" t="str">
        <f>Sheet1!M190</f>
        <v>Wakik</v>
      </c>
      <c r="N160" s="16" t="str">
        <f ca="1">Sheet1!N190</f>
        <v>17 Tahun, 4 Bulan, 20 Hari</v>
      </c>
      <c r="O160" s="16"/>
      <c r="P160" s="16"/>
    </row>
    <row r="161" spans="1:16" hidden="1" x14ac:dyDescent="0.25">
      <c r="A161" s="13">
        <f>Sheet1!A192</f>
        <v>191</v>
      </c>
      <c r="B161" s="14">
        <v>2</v>
      </c>
      <c r="C161" s="16">
        <f>Sheet1!C192</f>
        <v>0</v>
      </c>
      <c r="D161" s="14" t="str">
        <f>Sheet1!D192</f>
        <v>C3</v>
      </c>
      <c r="E161" s="14" t="str">
        <f>Sheet1!E192</f>
        <v>Isti'dadiyah</v>
      </c>
      <c r="F161" s="16">
        <f>Sheet1!F192</f>
        <v>1450292</v>
      </c>
      <c r="G161" s="16" t="str">
        <f>Sheet1!G192</f>
        <v>Muhammad Solahuddin Kamil</v>
      </c>
      <c r="H161" s="15" t="str">
        <f>Sheet1!H192</f>
        <v>Bondowoso</v>
      </c>
      <c r="I161" s="17">
        <f>Sheet1!I192</f>
        <v>37065.416666666664</v>
      </c>
      <c r="J161" s="14" t="str">
        <f>Sheet1!J192</f>
        <v>C 01</v>
      </c>
      <c r="K161" s="16" t="str">
        <f>Sheet1!K192</f>
        <v>Taman, Rt 59, Rw 7, Taman, Grujugan, Bondowoso</v>
      </c>
      <c r="L161" s="16" t="str">
        <f>Sheet1!L192</f>
        <v>Hud Zaini</v>
      </c>
      <c r="M161" s="16" t="str">
        <f>Sheet1!M192</f>
        <v>Sumiatun</v>
      </c>
      <c r="N161" s="16" t="str">
        <f ca="1">Sheet1!N192</f>
        <v>23 Tahun, 5 Bulan, 28 Hari</v>
      </c>
      <c r="O161" s="16"/>
      <c r="P161" s="16"/>
    </row>
    <row r="162" spans="1:16" hidden="1" x14ac:dyDescent="0.25">
      <c r="A162" s="13">
        <f>Sheet1!A193</f>
        <v>192</v>
      </c>
      <c r="B162" s="14">
        <v>3</v>
      </c>
      <c r="C162" s="16">
        <f>Sheet1!C193</f>
        <v>0</v>
      </c>
      <c r="D162" s="14" t="str">
        <f>Sheet1!D193</f>
        <v>1B</v>
      </c>
      <c r="E162" s="14" t="str">
        <f>Sheet1!E193</f>
        <v>Wustha</v>
      </c>
      <c r="F162" s="16">
        <f>Sheet1!F193</f>
        <v>3654</v>
      </c>
      <c r="G162" s="16" t="str">
        <f>Sheet1!G193</f>
        <v>Muhammad Nazil</v>
      </c>
      <c r="H162" s="15" t="str">
        <f>Sheet1!H193</f>
        <v>bondowoso</v>
      </c>
      <c r="I162" s="17" t="str">
        <f>Sheet1!I193</f>
        <v>17 juli 2007</v>
      </c>
      <c r="J162" s="14" t="str">
        <f>Sheet1!J193</f>
        <v>C 01</v>
      </c>
      <c r="K162" s="16" t="str">
        <f>Sheet1!K193</f>
        <v>Taman 62/007 Taman -Grujugan -Bondowoso</v>
      </c>
      <c r="L162" s="16" t="str">
        <f>Sheet1!L193</f>
        <v>Asyari</v>
      </c>
      <c r="M162" s="16" t="str">
        <f>Sheet1!M193</f>
        <v>Farida</v>
      </c>
      <c r="N162" s="16" t="str">
        <f ca="1">Sheet1!N193</f>
        <v>17 Tahun, 5 Bulan, 4 Hari</v>
      </c>
      <c r="O162" s="16"/>
      <c r="P162" s="16"/>
    </row>
    <row r="163" spans="1:16" hidden="1" x14ac:dyDescent="0.25">
      <c r="A163" s="13">
        <f>Sheet1!A194</f>
        <v>193</v>
      </c>
      <c r="B163" s="14">
        <v>4</v>
      </c>
      <c r="C163" s="16" t="str">
        <f>Sheet1!C194</f>
        <v>3 SMA</v>
      </c>
      <c r="D163" s="14" t="str">
        <f>Sheet1!D194</f>
        <v>2C</v>
      </c>
      <c r="E163" s="14" t="str">
        <f>Sheet1!E194</f>
        <v>Wustha</v>
      </c>
      <c r="F163" s="16">
        <f>Sheet1!F194</f>
        <v>3338</v>
      </c>
      <c r="G163" s="16" t="str">
        <f>Sheet1!G194</f>
        <v>Ridwan</v>
      </c>
      <c r="H163" s="15" t="str">
        <f>Sheet1!H194</f>
        <v>Bondowoso,</v>
      </c>
      <c r="I163" s="17">
        <f>Sheet1!I194</f>
        <v>38497</v>
      </c>
      <c r="J163" s="14" t="str">
        <f>Sheet1!J194</f>
        <v>C 01</v>
      </c>
      <c r="K163" s="16" t="str">
        <f>Sheet1!K194</f>
        <v>Bukor 001/001 Bukor Wringin Bondowoso</v>
      </c>
      <c r="L163" s="16" t="str">
        <f>Sheet1!L194</f>
        <v>Muzammil</v>
      </c>
      <c r="M163" s="16" t="str">
        <f>Sheet1!M194</f>
        <v>Rumsiya</v>
      </c>
      <c r="N163" s="16" t="str">
        <f ca="1">Sheet1!N194</f>
        <v>19 Tahun, 6 Bulan, 26 Hari</v>
      </c>
      <c r="O163" s="16"/>
      <c r="P163" s="16"/>
    </row>
    <row r="164" spans="1:16" hidden="1" x14ac:dyDescent="0.25">
      <c r="A164" s="13">
        <f>Sheet1!A195</f>
        <v>194</v>
      </c>
      <c r="B164" s="14">
        <v>5</v>
      </c>
      <c r="C164" s="16" t="str">
        <f>Sheet1!C195</f>
        <v>3 SMA</v>
      </c>
      <c r="D164" s="14" t="str">
        <f>Sheet1!D195</f>
        <v>3A</v>
      </c>
      <c r="E164" s="14" t="str">
        <f>Sheet1!E195</f>
        <v>Wustha</v>
      </c>
      <c r="F164" s="16">
        <f>Sheet1!F195</f>
        <v>2818</v>
      </c>
      <c r="G164" s="16" t="str">
        <f>Sheet1!G195</f>
        <v>Rehan Hadi</v>
      </c>
      <c r="H164" s="15" t="str">
        <f>Sheet1!H195</f>
        <v>Bondowoso</v>
      </c>
      <c r="I164" s="17">
        <f>Sheet1!I195</f>
        <v>39110</v>
      </c>
      <c r="J164" s="14" t="str">
        <f>Sheet1!J195</f>
        <v>C 02</v>
      </c>
      <c r="K164" s="16" t="str">
        <f>Sheet1!K195</f>
        <v>Sukowono-Pujer-Bondowoso</v>
      </c>
      <c r="L164" s="16" t="str">
        <f>Sheet1!L195</f>
        <v>Surono Susanto</v>
      </c>
      <c r="M164" s="16" t="str">
        <f>Sheet1!M195</f>
        <v>Eka Purnamasari</v>
      </c>
      <c r="N164" s="16" t="str">
        <f ca="1">Sheet1!N195</f>
        <v>17 Tahun, 10 Bulan, 23 Hari</v>
      </c>
      <c r="O164" s="16"/>
      <c r="P164" s="16"/>
    </row>
    <row r="165" spans="1:16" hidden="1" x14ac:dyDescent="0.25">
      <c r="A165" s="13">
        <f>Sheet1!A196</f>
        <v>195</v>
      </c>
      <c r="B165" s="14">
        <v>6</v>
      </c>
      <c r="C165" s="16">
        <f>Sheet1!C196</f>
        <v>0</v>
      </c>
      <c r="D165" s="14" t="str">
        <f>Sheet1!D196</f>
        <v>1A</v>
      </c>
      <c r="E165" s="14" t="str">
        <f>Sheet1!E196</f>
        <v>Wustha</v>
      </c>
      <c r="F165" s="16">
        <f>Sheet1!F196</f>
        <v>3231</v>
      </c>
      <c r="G165" s="16" t="str">
        <f>Sheet1!G196</f>
        <v>Aqmal Khoir</v>
      </c>
      <c r="H165" s="15" t="str">
        <f>Sheet1!H196</f>
        <v>Bondowoso</v>
      </c>
      <c r="I165" s="17" t="str">
        <f>Sheet1!I196</f>
        <v>25 Januari 2007</v>
      </c>
      <c r="J165" s="14" t="str">
        <f>Sheet1!J196</f>
        <v>C 02</v>
      </c>
      <c r="K165" s="16" t="str">
        <f>Sheet1!K196</f>
        <v>Sukowono 11/01 Pujer-Bondowoso</v>
      </c>
      <c r="L165" s="16" t="str">
        <f>Sheet1!L196</f>
        <v>Asus</v>
      </c>
      <c r="M165" s="16" t="str">
        <f>Sheet1!M196</f>
        <v>Toyati</v>
      </c>
      <c r="N165" s="16" t="str">
        <f ca="1">Sheet1!N196</f>
        <v>17 Tahun, 10 Bulan, 26 Hari</v>
      </c>
      <c r="O165" s="16"/>
      <c r="P165" s="16"/>
    </row>
    <row r="166" spans="1:16" hidden="1" x14ac:dyDescent="0.25">
      <c r="A166" s="13">
        <f>Sheet1!A197</f>
        <v>196</v>
      </c>
      <c r="B166" s="14">
        <v>7</v>
      </c>
      <c r="C166" s="16" t="str">
        <f>Sheet1!C197</f>
        <v>STAI</v>
      </c>
      <c r="D166" s="14" t="str">
        <f>Sheet1!D197</f>
        <v>3A</v>
      </c>
      <c r="E166" s="14" t="str">
        <f>Sheet1!E197</f>
        <v>Wustha</v>
      </c>
      <c r="F166" s="16">
        <f>Sheet1!F197</f>
        <v>2779</v>
      </c>
      <c r="G166" s="16" t="str">
        <f>Sheet1!G197</f>
        <v>Muhammad Ibnu Affan</v>
      </c>
      <c r="H166" s="15" t="str">
        <f>Sheet1!H197</f>
        <v>Bondowoso</v>
      </c>
      <c r="I166" s="17">
        <f>Sheet1!I197</f>
        <v>38396</v>
      </c>
      <c r="J166" s="14" t="str">
        <f>Sheet1!J197</f>
        <v>C 02</v>
      </c>
      <c r="K166" s="16" t="str">
        <f>Sheet1!K197</f>
        <v>Sukowono-Pujer-Bondowoso</v>
      </c>
      <c r="L166" s="16" t="str">
        <f>Sheet1!L197</f>
        <v>Ishak</v>
      </c>
      <c r="M166" s="16" t="str">
        <f>Sheet1!M197</f>
        <v>Uswatun Hasanah</v>
      </c>
      <c r="N166" s="16" t="str">
        <f ca="1">Sheet1!N197</f>
        <v>19 Tahun, 10 Bulan, 8 Hari</v>
      </c>
      <c r="O166" s="16"/>
      <c r="P166" s="16"/>
    </row>
    <row r="167" spans="1:16" hidden="1" x14ac:dyDescent="0.25">
      <c r="A167" s="13">
        <f>Sheet1!A199</f>
        <v>198</v>
      </c>
      <c r="B167" s="14">
        <v>8</v>
      </c>
      <c r="C167" s="16">
        <f>Sheet1!C199</f>
        <v>0</v>
      </c>
      <c r="D167" s="14" t="str">
        <f>Sheet1!D199</f>
        <v>2B</v>
      </c>
      <c r="E167" s="14" t="str">
        <f>Sheet1!E199</f>
        <v>Ulya</v>
      </c>
      <c r="F167" s="16">
        <f>Sheet1!F199</f>
        <v>1601</v>
      </c>
      <c r="G167" s="16" t="str">
        <f>Sheet1!G199</f>
        <v>Muhammad Zidan Assayyidi</v>
      </c>
      <c r="H167" s="15" t="str">
        <f>Sheet1!H199</f>
        <v>Bondowoso</v>
      </c>
      <c r="I167" s="17" t="str">
        <f>Sheet1!I199</f>
        <v>25 November 2006</v>
      </c>
      <c r="J167" s="14" t="str">
        <f>Sheet1!J199</f>
        <v>C 03</v>
      </c>
      <c r="K167" s="16" t="str">
        <f>Sheet1!K199</f>
        <v>Gunosari, Rt 011/Rw 002, , Kec.Tlogosari, Kab.Bondowoso</v>
      </c>
      <c r="L167" s="16" t="str">
        <f>Sheet1!L199</f>
        <v>Edi Haryanto</v>
      </c>
      <c r="M167" s="16" t="str">
        <f>Sheet1!M199</f>
        <v>Jamilatul Hasanah</v>
      </c>
      <c r="N167" s="16" t="str">
        <f ca="1">Sheet1!N199</f>
        <v>18 Tahun, 0 Bulan, 26 Hari</v>
      </c>
      <c r="O167" s="16"/>
      <c r="P167" s="16"/>
    </row>
    <row r="168" spans="1:16" hidden="1" x14ac:dyDescent="0.25">
      <c r="A168" s="13">
        <f>Sheet1!A200</f>
        <v>199</v>
      </c>
      <c r="B168" s="14">
        <v>9</v>
      </c>
      <c r="C168" s="16">
        <f>Sheet1!C200</f>
        <v>0</v>
      </c>
      <c r="D168" s="14">
        <f>Sheet1!D200</f>
        <v>1</v>
      </c>
      <c r="E168" s="14" t="str">
        <f>Sheet1!E200</f>
        <v>Ulya</v>
      </c>
      <c r="F168" s="16">
        <f>Sheet1!F200</f>
        <v>2468</v>
      </c>
      <c r="G168" s="16" t="str">
        <f>Sheet1!G200</f>
        <v>M. Khoirul Umam</v>
      </c>
      <c r="H168" s="15" t="str">
        <f>Sheet1!H200</f>
        <v>Bondowoso</v>
      </c>
      <c r="I168" s="17" t="str">
        <f>Sheet1!I200</f>
        <v>02 Mei 2005</v>
      </c>
      <c r="J168" s="14" t="str">
        <f>Sheet1!J200</f>
        <v>C 03</v>
      </c>
      <c r="K168" s="16" t="str">
        <f>Sheet1!K200</f>
        <v>Pekalangan-pengarang-jambesari ds-bondowos</v>
      </c>
      <c r="L168" s="16" t="str">
        <f>Sheet1!L200</f>
        <v>Hannan</v>
      </c>
      <c r="M168" s="16">
        <f>Sheet1!M200</f>
        <v>0</v>
      </c>
      <c r="N168" s="16" t="str">
        <f ca="1">Sheet1!N200</f>
        <v>19 Tahun, 7 Bulan, 19 Hari</v>
      </c>
      <c r="O168" s="16"/>
      <c r="P168" s="16"/>
    </row>
    <row r="169" spans="1:16" hidden="1" x14ac:dyDescent="0.25">
      <c r="A169" s="13">
        <f>Sheet1!A201</f>
        <v>200</v>
      </c>
      <c r="B169" s="14">
        <v>10</v>
      </c>
      <c r="C169" s="16" t="str">
        <f>Sheet1!C201</f>
        <v>3 SMA</v>
      </c>
      <c r="D169" s="14" t="str">
        <f>Sheet1!D201</f>
        <v>3D</v>
      </c>
      <c r="E169" s="14" t="str">
        <f>Sheet1!E201</f>
        <v>Wustha</v>
      </c>
      <c r="F169" s="16">
        <f>Sheet1!F201</f>
        <v>3498</v>
      </c>
      <c r="G169" s="16" t="str">
        <f>Sheet1!G201</f>
        <v>Fikri Fahirullah</v>
      </c>
      <c r="H169" s="15" t="str">
        <f>Sheet1!H201</f>
        <v>Bondowoso</v>
      </c>
      <c r="I169" s="17">
        <f>Sheet1!I201</f>
        <v>38810</v>
      </c>
      <c r="J169" s="14" t="str">
        <f>Sheet1!J201</f>
        <v>C 03</v>
      </c>
      <c r="K169" s="16" t="str">
        <f>Sheet1!K201</f>
        <v>Pekalangan 21/04 Tenggarang- Bondowoso</v>
      </c>
      <c r="L169" s="16" t="str">
        <f>Sheet1!L201</f>
        <v>Amir Wahudi</v>
      </c>
      <c r="M169" s="16">
        <f>Sheet1!M201</f>
        <v>0</v>
      </c>
      <c r="N169" s="16" t="str">
        <f ca="1">Sheet1!N201</f>
        <v>18 Tahun, 8 Bulan, 18 Hari</v>
      </c>
      <c r="O169" s="16"/>
      <c r="P169" s="16"/>
    </row>
    <row r="170" spans="1:16" hidden="1" x14ac:dyDescent="0.25">
      <c r="A170" s="13">
        <f>Sheet1!A203</f>
        <v>202</v>
      </c>
      <c r="B170" s="14">
        <v>11</v>
      </c>
      <c r="C170" s="16">
        <f>Sheet1!C203</f>
        <v>0</v>
      </c>
      <c r="D170" s="14">
        <f>Sheet1!D203</f>
        <v>1</v>
      </c>
      <c r="E170" s="14" t="str">
        <f>Sheet1!E203</f>
        <v>Ulya</v>
      </c>
      <c r="F170" s="16">
        <f>Sheet1!F203</f>
        <v>2914</v>
      </c>
      <c r="G170" s="16" t="str">
        <f>Sheet1!G203</f>
        <v>Rosi</v>
      </c>
      <c r="H170" s="15" t="str">
        <f>Sheet1!H203</f>
        <v>Bondowoso</v>
      </c>
      <c r="I170" s="17">
        <f>Sheet1!I203</f>
        <v>39240</v>
      </c>
      <c r="J170" s="14" t="str">
        <f>Sheet1!J203</f>
        <v>C 04</v>
      </c>
      <c r="K170" s="16" t="str">
        <f>Sheet1!K203</f>
        <v>Pakisan-Tlogosari-Bondowoso</v>
      </c>
      <c r="L170" s="16" t="str">
        <f>Sheet1!L203</f>
        <v>Ahmad</v>
      </c>
      <c r="M170" s="16" t="str">
        <f>Sheet1!M203</f>
        <v>Yanti Andriyani</v>
      </c>
      <c r="N170" s="16" t="str">
        <f ca="1">Sheet1!N203</f>
        <v>17 Tahun, 6 Bulan, 14 Hari</v>
      </c>
      <c r="O170" s="16"/>
      <c r="P170" s="16"/>
    </row>
    <row r="171" spans="1:16" hidden="1" x14ac:dyDescent="0.25">
      <c r="A171" s="13">
        <f>Sheet1!A204</f>
        <v>203</v>
      </c>
      <c r="B171" s="14">
        <v>12</v>
      </c>
      <c r="C171" s="16">
        <f>Sheet1!C204</f>
        <v>0</v>
      </c>
      <c r="D171" s="14">
        <f>Sheet1!D204</f>
        <v>1</v>
      </c>
      <c r="E171" s="14" t="str">
        <f>Sheet1!E204</f>
        <v>Ulya</v>
      </c>
      <c r="F171" s="16">
        <f>Sheet1!F204</f>
        <v>2915</v>
      </c>
      <c r="G171" s="16" t="str">
        <f>Sheet1!G204</f>
        <v>Sukron Makmun</v>
      </c>
      <c r="H171" s="15" t="str">
        <f>Sheet1!H204</f>
        <v>Bondowoso</v>
      </c>
      <c r="I171" s="17">
        <f>Sheet1!I204</f>
        <v>38713</v>
      </c>
      <c r="J171" s="14" t="str">
        <f>Sheet1!J204</f>
        <v>C 04</v>
      </c>
      <c r="K171" s="16" t="str">
        <f>Sheet1!K204</f>
        <v>Pakisan-tlogosari-jember</v>
      </c>
      <c r="L171" s="16" t="str">
        <f>Sheet1!L204</f>
        <v>Ahmad Qusyairi</v>
      </c>
      <c r="M171" s="16" t="str">
        <f>Sheet1!M204</f>
        <v>Khoirun Nisa'u Zamah</v>
      </c>
      <c r="N171" s="16" t="str">
        <f ca="1">Sheet1!N204</f>
        <v>18 Tahun, 11 Bulan, 24 Hari</v>
      </c>
      <c r="O171" s="16"/>
      <c r="P171" s="16"/>
    </row>
    <row r="172" spans="1:16" hidden="1" x14ac:dyDescent="0.25">
      <c r="A172" s="13">
        <f>Sheet1!A205</f>
        <v>204</v>
      </c>
      <c r="B172" s="14">
        <v>13</v>
      </c>
      <c r="C172" s="16">
        <f>Sheet1!C205</f>
        <v>0</v>
      </c>
      <c r="D172" s="14">
        <f>Sheet1!D205</f>
        <v>1</v>
      </c>
      <c r="E172" s="14" t="str">
        <f>Sheet1!E205</f>
        <v>Ulya</v>
      </c>
      <c r="F172" s="16">
        <f>Sheet1!F205</f>
        <v>2531</v>
      </c>
      <c r="G172" s="16" t="str">
        <f>Sheet1!G205</f>
        <v>Azman</v>
      </c>
      <c r="H172" s="15" t="str">
        <f>Sheet1!H205</f>
        <v>Bondowoso</v>
      </c>
      <c r="I172" s="17" t="str">
        <f>Sheet1!I205</f>
        <v>20 April 2006</v>
      </c>
      <c r="J172" s="14" t="str">
        <f>Sheet1!J205</f>
        <v>C 04</v>
      </c>
      <c r="K172" s="16" t="str">
        <f>Sheet1!K205</f>
        <v>sumber walin-tlogosari- bondowoso</v>
      </c>
      <c r="L172" s="16" t="str">
        <f>Sheet1!L205</f>
        <v>Abdul Jalal</v>
      </c>
      <c r="M172" s="16" t="str">
        <f>Sheet1!M205</f>
        <v>Lutfiah</v>
      </c>
      <c r="N172" s="16" t="str">
        <f ca="1">Sheet1!N205</f>
        <v>18 Tahun, 8 Bulan, 1 Hari</v>
      </c>
      <c r="O172" s="16"/>
      <c r="P172" s="16"/>
    </row>
    <row r="173" spans="1:16" hidden="1" x14ac:dyDescent="0.25">
      <c r="A173" s="13">
        <f>Sheet1!A206</f>
        <v>205</v>
      </c>
      <c r="B173" s="14">
        <v>14</v>
      </c>
      <c r="C173" s="16">
        <f>Sheet1!C206</f>
        <v>0</v>
      </c>
      <c r="D173" s="14">
        <f>Sheet1!D206</f>
        <v>1</v>
      </c>
      <c r="E173" s="14" t="str">
        <f>Sheet1!E206</f>
        <v>Ulya</v>
      </c>
      <c r="F173" s="16">
        <f>Sheet1!F206</f>
        <v>2522</v>
      </c>
      <c r="G173" s="16" t="str">
        <f>Sheet1!G206</f>
        <v>Muhammad Amin Hoironi</v>
      </c>
      <c r="H173" s="15" t="str">
        <f>Sheet1!H206</f>
        <v>Bondowoso</v>
      </c>
      <c r="I173" s="17" t="str">
        <f>Sheet1!I206</f>
        <v>24 Januari 2006</v>
      </c>
      <c r="J173" s="14" t="str">
        <f>Sheet1!J206</f>
        <v>C 04</v>
      </c>
      <c r="K173" s="16" t="str">
        <f>Sheet1!K206</f>
        <v>SUMBERWALIN</v>
      </c>
      <c r="L173" s="16" t="str">
        <f>Sheet1!L206</f>
        <v>Khairus Shaleh</v>
      </c>
      <c r="M173" s="16" t="str">
        <f>Sheet1!M206</f>
        <v>Hosniyati</v>
      </c>
      <c r="N173" s="16" t="str">
        <f ca="1">Sheet1!N206</f>
        <v>18 Tahun, 10 Bulan, 27 Hari</v>
      </c>
      <c r="O173" s="16"/>
      <c r="P173" s="16"/>
    </row>
    <row r="174" spans="1:16" hidden="1" x14ac:dyDescent="0.25">
      <c r="A174" s="13">
        <f>Sheet1!A207</f>
        <v>206</v>
      </c>
      <c r="B174" s="14">
        <v>15</v>
      </c>
      <c r="C174" s="16">
        <f>Sheet1!C207</f>
        <v>0</v>
      </c>
      <c r="D174" s="14" t="str">
        <f>Sheet1!D207</f>
        <v>2B</v>
      </c>
      <c r="E174" s="14" t="str">
        <f>Sheet1!E207</f>
        <v>Ulya</v>
      </c>
      <c r="F174" s="16">
        <f>Sheet1!F207</f>
        <v>1536</v>
      </c>
      <c r="G174" s="16" t="str">
        <f>Sheet1!G207</f>
        <v xml:space="preserve">Faqih Ali </v>
      </c>
      <c r="H174" s="15" t="str">
        <f>Sheet1!H207</f>
        <v>Jember</v>
      </c>
      <c r="I174" s="17" t="str">
        <f>Sheet1!I207</f>
        <v>09 September 2006</v>
      </c>
      <c r="J174" s="14" t="str">
        <f>Sheet1!J207</f>
        <v>C 04</v>
      </c>
      <c r="K174" s="16" t="str">
        <f>Sheet1!K207</f>
        <v>Dusun Ajung Mangli, 004/001, , Kec.SumberJambe, Kab.Jember</v>
      </c>
      <c r="L174" s="16" t="str">
        <f>Sheet1!L207</f>
        <v>Buaris</v>
      </c>
      <c r="M174" s="16">
        <f>Sheet1!M207</f>
        <v>0</v>
      </c>
      <c r="N174" s="16" t="str">
        <f ca="1">Sheet1!N207</f>
        <v>18 Tahun, 3 Bulan, 12 Hari</v>
      </c>
      <c r="O174" s="16"/>
      <c r="P174" s="16"/>
    </row>
    <row r="175" spans="1:16" hidden="1" x14ac:dyDescent="0.25">
      <c r="A175" s="13">
        <f>Sheet1!A208</f>
        <v>207</v>
      </c>
      <c r="B175" s="14">
        <v>16</v>
      </c>
      <c r="C175" s="16" t="str">
        <f>Sheet1!C208</f>
        <v>2 SMA</v>
      </c>
      <c r="D175" s="14" t="str">
        <f>Sheet1!D208</f>
        <v>3D</v>
      </c>
      <c r="E175" s="14" t="str">
        <f>Sheet1!E208</f>
        <v>Wustha</v>
      </c>
      <c r="F175" s="16">
        <f>Sheet1!F208</f>
        <v>2770</v>
      </c>
      <c r="G175" s="16" t="str">
        <f>Sheet1!G208</f>
        <v>Muhammad Ridwan Amir</v>
      </c>
      <c r="H175" s="15" t="str">
        <f>Sheet1!H208</f>
        <v>Bondowoso</v>
      </c>
      <c r="I175" s="17">
        <f>Sheet1!I208</f>
        <v>39374</v>
      </c>
      <c r="J175" s="14" t="str">
        <f>Sheet1!J208</f>
        <v>C 04</v>
      </c>
      <c r="K175" s="16" t="str">
        <f>Sheet1!K208</f>
        <v>Maskuning Kulon-Pujer-Bondowoso</v>
      </c>
      <c r="L175" s="16" t="str">
        <f>Sheet1!L208</f>
        <v xml:space="preserve">Abd. Rahman </v>
      </c>
      <c r="M175" s="16" t="str">
        <f>Sheet1!M208</f>
        <v>Nasia</v>
      </c>
      <c r="N175" s="16" t="str">
        <f ca="1">Sheet1!N208</f>
        <v>17 Tahun, 2 Bulan, 2 Hari</v>
      </c>
      <c r="O175" s="16"/>
      <c r="P175" s="16"/>
    </row>
    <row r="176" spans="1:16" hidden="1" x14ac:dyDescent="0.25">
      <c r="A176" s="13">
        <f>Sheet1!A209</f>
        <v>208</v>
      </c>
      <c r="B176" s="14">
        <v>17</v>
      </c>
      <c r="C176" s="16" t="str">
        <f>Sheet1!C209</f>
        <v>2 SMA</v>
      </c>
      <c r="D176" s="14" t="str">
        <f>Sheet1!D209</f>
        <v>3D</v>
      </c>
      <c r="E176" s="14" t="str">
        <f>Sheet1!E209</f>
        <v>Wustha</v>
      </c>
      <c r="F176" s="16">
        <f>Sheet1!F209</f>
        <v>3186</v>
      </c>
      <c r="G176" s="16" t="str">
        <f>Sheet1!G209</f>
        <v>Abdul Mauni</v>
      </c>
      <c r="H176" s="15" t="str">
        <f>Sheet1!H209</f>
        <v>Bondowoso</v>
      </c>
      <c r="I176" s="17">
        <f>Sheet1!I209</f>
        <v>39308</v>
      </c>
      <c r="J176" s="14" t="str">
        <f>Sheet1!J209</f>
        <v>C 04</v>
      </c>
      <c r="K176" s="16" t="str">
        <f>Sheet1!K209</f>
        <v>Pakisan-Tlogosari-Bondowoso</v>
      </c>
      <c r="L176" s="16" t="str">
        <f>Sheet1!L209</f>
        <v>Mohyiddin</v>
      </c>
      <c r="M176" s="16">
        <f>Sheet1!M209</f>
        <v>0</v>
      </c>
      <c r="N176" s="16" t="str">
        <f ca="1">Sheet1!N209</f>
        <v>17 Tahun, 4 Bulan, 7 Hari</v>
      </c>
      <c r="O176" s="16"/>
      <c r="P176" s="16"/>
    </row>
    <row r="177" spans="1:16" hidden="1" x14ac:dyDescent="0.25">
      <c r="A177" s="13">
        <f>Sheet1!A211</f>
        <v>210</v>
      </c>
      <c r="B177" s="14">
        <v>18</v>
      </c>
      <c r="C177" s="16">
        <f>Sheet1!C211</f>
        <v>0</v>
      </c>
      <c r="D177" s="14" t="str">
        <f>Sheet1!D211</f>
        <v>2A</v>
      </c>
      <c r="E177" s="14" t="str">
        <f>Sheet1!E211</f>
        <v>Ulya</v>
      </c>
      <c r="F177" s="16">
        <f>Sheet1!F211</f>
        <v>1548</v>
      </c>
      <c r="G177" s="16" t="str">
        <f>Sheet1!G211</f>
        <v>Imam Muddin</v>
      </c>
      <c r="H177" s="15" t="str">
        <f>Sheet1!H211</f>
        <v>Bondowoso</v>
      </c>
      <c r="I177" s="17" t="str">
        <f>Sheet1!I211</f>
        <v>27 Desember 2006</v>
      </c>
      <c r="J177" s="14" t="str">
        <f>Sheet1!J211</f>
        <v>C 05</v>
      </c>
      <c r="K177" s="16" t="str">
        <f>Sheet1!K211</f>
        <v>Dusun Krajan, Rt 009/Rw 002, Pengarang, Kec.Jambesari Darus Sholah, Kab.Bondowoso</v>
      </c>
      <c r="L177" s="16" t="str">
        <f>Sheet1!L211</f>
        <v>Saiful Hadi</v>
      </c>
      <c r="M177" s="16" t="str">
        <f>Sheet1!M211</f>
        <v>Susiyanti</v>
      </c>
      <c r="N177" s="16" t="str">
        <f ca="1">Sheet1!N211</f>
        <v>17 Tahun, 11 Bulan, 24 Hari</v>
      </c>
      <c r="O177" s="16"/>
      <c r="P177" s="16"/>
    </row>
    <row r="178" spans="1:16" hidden="1" x14ac:dyDescent="0.25">
      <c r="A178" s="13">
        <f>Sheet1!A212</f>
        <v>211</v>
      </c>
      <c r="B178" s="14">
        <v>19</v>
      </c>
      <c r="C178" s="16">
        <f>Sheet1!C212</f>
        <v>0</v>
      </c>
      <c r="D178" s="14" t="str">
        <f>Sheet1!D212</f>
        <v>2B</v>
      </c>
      <c r="E178" s="14" t="str">
        <f>Sheet1!E212</f>
        <v>Ulya</v>
      </c>
      <c r="F178" s="16">
        <f>Sheet1!F212</f>
        <v>1595</v>
      </c>
      <c r="G178" s="16" t="str">
        <f>Sheet1!G212</f>
        <v>Muhammad Sholahul Qalbi</v>
      </c>
      <c r="H178" s="15" t="str">
        <f>Sheet1!H212</f>
        <v>Bondowoso</v>
      </c>
      <c r="I178" s="17" t="str">
        <f>Sheet1!I212</f>
        <v>09 Agustus 2007</v>
      </c>
      <c r="J178" s="14" t="str">
        <f>Sheet1!J212</f>
        <v>C 05</v>
      </c>
      <c r="K178" s="16" t="str">
        <f>Sheet1!K212</f>
        <v xml:space="preserve">Desa Sukokerto, Rt 009/Rw 003, Kec.Pujer, Kab.Bondowoso, </v>
      </c>
      <c r="L178" s="16" t="str">
        <f>Sheet1!L212</f>
        <v>M.Mulyono</v>
      </c>
      <c r="M178" s="16" t="str">
        <f>Sheet1!M212</f>
        <v>Nuril Hariroh</v>
      </c>
      <c r="N178" s="16" t="str">
        <f ca="1">Sheet1!N212</f>
        <v>17 Tahun, 4 Bulan, 12 Hari</v>
      </c>
      <c r="O178" s="16"/>
      <c r="P178" s="16"/>
    </row>
    <row r="179" spans="1:16" hidden="1" x14ac:dyDescent="0.25">
      <c r="A179" s="13">
        <f>Sheet1!A213</f>
        <v>212</v>
      </c>
      <c r="B179" s="14">
        <v>20</v>
      </c>
      <c r="C179" s="16">
        <f>Sheet1!C213</f>
        <v>0</v>
      </c>
      <c r="D179" s="14">
        <f>Sheet1!D213</f>
        <v>1</v>
      </c>
      <c r="E179" s="14" t="str">
        <f>Sheet1!E213</f>
        <v>Ulya</v>
      </c>
      <c r="F179" s="16">
        <f>Sheet1!F213</f>
        <v>2469</v>
      </c>
      <c r="G179" s="16" t="str">
        <f>Sheet1!G213</f>
        <v>M. Rofil Hikamul Ulum</v>
      </c>
      <c r="H179" s="15" t="str">
        <f>Sheet1!H213</f>
        <v>Bondowoso</v>
      </c>
      <c r="I179" s="17">
        <f>Sheet1!I213</f>
        <v>39301</v>
      </c>
      <c r="J179" s="14" t="str">
        <f>Sheet1!J213</f>
        <v>C 05</v>
      </c>
      <c r="K179" s="16" t="str">
        <f>Sheet1!K213</f>
        <v>Sukokerto</v>
      </c>
      <c r="L179" s="16" t="str">
        <f>Sheet1!L213</f>
        <v>M. Rasudi</v>
      </c>
      <c r="M179" s="16" t="str">
        <f>Sheet1!M213</f>
        <v>Siti Rofikoh</v>
      </c>
      <c r="N179" s="16" t="str">
        <f ca="1">Sheet1!N213</f>
        <v>17 Tahun, 4 Bulan, 14 Hari</v>
      </c>
      <c r="O179" s="16"/>
      <c r="P179" s="16"/>
    </row>
    <row r="180" spans="1:16" hidden="1" x14ac:dyDescent="0.25">
      <c r="A180" s="13">
        <f>Sheet1!A215</f>
        <v>214</v>
      </c>
      <c r="B180" s="14">
        <v>21</v>
      </c>
      <c r="C180" s="16">
        <f>Sheet1!C215</f>
        <v>0</v>
      </c>
      <c r="D180" s="14">
        <f>Sheet1!D215</f>
        <v>1</v>
      </c>
      <c r="E180" s="14" t="str">
        <f>Sheet1!E215</f>
        <v>Ulya</v>
      </c>
      <c r="F180" s="16">
        <f>Sheet1!F215</f>
        <v>2461</v>
      </c>
      <c r="G180" s="16" t="str">
        <f>Sheet1!G215</f>
        <v xml:space="preserve">Hamid </v>
      </c>
      <c r="H180" s="15" t="str">
        <f>Sheet1!H215</f>
        <v>Bondowoso</v>
      </c>
      <c r="I180" s="17" t="str">
        <f>Sheet1!I215</f>
        <v>01 Jan 2005</v>
      </c>
      <c r="J180" s="14" t="str">
        <f>Sheet1!J215</f>
        <v>C 06</v>
      </c>
      <c r="K180" s="16" t="str">
        <f>Sheet1!K215</f>
        <v>brambang DS-tlogosari-bondowoso</v>
      </c>
      <c r="L180" s="16" t="str">
        <f>Sheet1!L215</f>
        <v>Abdul Muis</v>
      </c>
      <c r="M180" s="16" t="str">
        <f>Sheet1!M215</f>
        <v>Irmatul Kiptiyah</v>
      </c>
      <c r="N180" s="16" t="str">
        <f ca="1">Sheet1!N215</f>
        <v>19 Tahun, 11 Bulan, 20 Hari</v>
      </c>
      <c r="O180" s="16"/>
      <c r="P180" s="16"/>
    </row>
    <row r="181" spans="1:16" hidden="1" x14ac:dyDescent="0.25">
      <c r="A181" s="13">
        <f>Sheet1!A216</f>
        <v>215</v>
      </c>
      <c r="B181" s="14">
        <v>22</v>
      </c>
      <c r="C181" s="16">
        <f>Sheet1!C216</f>
        <v>0</v>
      </c>
      <c r="D181" s="14" t="str">
        <f>Sheet1!D216</f>
        <v>2A</v>
      </c>
      <c r="E181" s="14" t="str">
        <f>Sheet1!E216</f>
        <v>Ulya</v>
      </c>
      <c r="F181" s="16">
        <f>Sheet1!F216</f>
        <v>1572</v>
      </c>
      <c r="G181" s="16" t="str">
        <f>Sheet1!G216</f>
        <v>Muhammad Arifin</v>
      </c>
      <c r="H181" s="15" t="str">
        <f>Sheet1!H216</f>
        <v>Bondowoso</v>
      </c>
      <c r="I181" s="17" t="str">
        <f>Sheet1!I216</f>
        <v>11 Oktober 2002</v>
      </c>
      <c r="J181" s="14" t="str">
        <f>Sheet1!J216</f>
        <v>C 06</v>
      </c>
      <c r="K181" s="16" t="str">
        <f>Sheet1!K216</f>
        <v xml:space="preserve">, , , , </v>
      </c>
      <c r="L181" s="16" t="str">
        <f>Sheet1!L216</f>
        <v>Sipul</v>
      </c>
      <c r="M181" s="16" t="str">
        <f>Sheet1!M216</f>
        <v>Sifak</v>
      </c>
      <c r="N181" s="16" t="str">
        <f ca="1">Sheet1!N216</f>
        <v>22 Tahun, 2 Bulan, 10 Hari</v>
      </c>
      <c r="O181" s="16"/>
      <c r="P181" s="16"/>
    </row>
    <row r="182" spans="1:16" hidden="1" x14ac:dyDescent="0.25">
      <c r="A182" s="13">
        <f>Sheet1!A219</f>
        <v>218</v>
      </c>
      <c r="B182" s="14">
        <v>23</v>
      </c>
      <c r="C182" s="16">
        <f>Sheet1!C219</f>
        <v>0</v>
      </c>
      <c r="D182" s="14" t="str">
        <f>Sheet1!D219</f>
        <v>2B</v>
      </c>
      <c r="E182" s="14" t="str">
        <f>Sheet1!E219</f>
        <v>Ulya</v>
      </c>
      <c r="F182" s="16">
        <f>Sheet1!F219</f>
        <v>1592</v>
      </c>
      <c r="G182" s="16" t="str">
        <f>Sheet1!G219</f>
        <v>Muhammad Nurul Arifin</v>
      </c>
      <c r="H182" s="15" t="str">
        <f>Sheet1!H219</f>
        <v>Bondowoso</v>
      </c>
      <c r="I182" s="17" t="str">
        <f>Sheet1!I219</f>
        <v>17 Oktober 2006</v>
      </c>
      <c r="J182" s="14" t="str">
        <f>Sheet1!J219</f>
        <v>C 07</v>
      </c>
      <c r="K182" s="16" t="str">
        <f>Sheet1!K219</f>
        <v xml:space="preserve">Desa Tlogosari, Rt 020/Rw 005, Kec.Tlogosari, Kab. Bondowoso, </v>
      </c>
      <c r="L182" s="16" t="str">
        <f>Sheet1!L219</f>
        <v>Ali Jufri</v>
      </c>
      <c r="M182" s="16" t="str">
        <f>Sheet1!M219</f>
        <v>Rahbia</v>
      </c>
      <c r="N182" s="16" t="str">
        <f ca="1">Sheet1!N219</f>
        <v>18 Tahun, 2 Bulan, 4 Hari</v>
      </c>
      <c r="O182" s="16"/>
      <c r="P182" s="16"/>
    </row>
    <row r="183" spans="1:16" hidden="1" x14ac:dyDescent="0.25">
      <c r="A183" s="13">
        <f>Sheet1!A220</f>
        <v>219</v>
      </c>
      <c r="B183" s="14">
        <v>24</v>
      </c>
      <c r="C183" s="16">
        <f>Sheet1!C220</f>
        <v>0</v>
      </c>
      <c r="D183" s="14" t="str">
        <f>Sheet1!D220</f>
        <v>2C</v>
      </c>
      <c r="E183" s="14" t="str">
        <f>Sheet1!E220</f>
        <v>Ulya</v>
      </c>
      <c r="F183" s="16">
        <f>Sheet1!F220</f>
        <v>1613</v>
      </c>
      <c r="G183" s="16" t="str">
        <f>Sheet1!G220</f>
        <v>Samsul Arifin C</v>
      </c>
      <c r="H183" s="15" t="str">
        <f>Sheet1!H220</f>
        <v>Bondowoso</v>
      </c>
      <c r="I183" s="17" t="str">
        <f>Sheet1!I220</f>
        <v>25 April 2003</v>
      </c>
      <c r="J183" s="14" t="str">
        <f>Sheet1!J220</f>
        <v>C 08</v>
      </c>
      <c r="K183" s="16" t="str">
        <f>Sheet1!K220</f>
        <v xml:space="preserve">Tegal Mijin, Rt 007 / Rw 002, Kec.Grujugan, Kab.Bondowoso, </v>
      </c>
      <c r="L183" s="16" t="str">
        <f>Sheet1!L220</f>
        <v>Dasuki</v>
      </c>
      <c r="M183" s="16" t="str">
        <f>Sheet1!M220</f>
        <v>Sawani</v>
      </c>
      <c r="N183" s="16" t="str">
        <f ca="1">Sheet1!N220</f>
        <v>21 Tahun, 7 Bulan, 26 Hari</v>
      </c>
      <c r="O183" s="16"/>
      <c r="P183" s="16"/>
    </row>
    <row r="184" spans="1:16" hidden="1" x14ac:dyDescent="0.25">
      <c r="A184" s="13">
        <f>Sheet1!A221</f>
        <v>220</v>
      </c>
      <c r="B184" s="14">
        <v>25</v>
      </c>
      <c r="C184" s="16">
        <f>Sheet1!C221</f>
        <v>0</v>
      </c>
      <c r="D184" s="14" t="str">
        <f>Sheet1!D221</f>
        <v>3B</v>
      </c>
      <c r="E184" s="14" t="str">
        <f>Sheet1!E221</f>
        <v>Wustha</v>
      </c>
      <c r="F184" s="16">
        <f>Sheet1!F221</f>
        <v>2895</v>
      </c>
      <c r="G184" s="16" t="str">
        <f>Sheet1!G221</f>
        <v>Zaki Abiyullah</v>
      </c>
      <c r="H184" s="15" t="str">
        <f>Sheet1!H221</f>
        <v>Bondowoso</v>
      </c>
      <c r="I184" s="17">
        <f>Sheet1!I221</f>
        <v>38719</v>
      </c>
      <c r="J184" s="14" t="str">
        <f>Sheet1!J221</f>
        <v>C 08</v>
      </c>
      <c r="K184" s="16" t="str">
        <f>Sheet1!K221</f>
        <v>Tegal Mijin-Grujugan-Bondowoso</v>
      </c>
      <c r="L184" s="16" t="str">
        <f>Sheet1!L221</f>
        <v>Hadi Yanto</v>
      </c>
      <c r="M184" s="16" t="str">
        <f>Sheet1!M221</f>
        <v>Titin Haryani</v>
      </c>
      <c r="N184" s="16" t="str">
        <f ca="1">Sheet1!N221</f>
        <v>18 Tahun, 11 Bulan, 19 Hari</v>
      </c>
      <c r="O184" s="16"/>
      <c r="P184" s="16"/>
    </row>
    <row r="185" spans="1:16" hidden="1" x14ac:dyDescent="0.25">
      <c r="A185" s="13">
        <f>Sheet1!A224</f>
        <v>223</v>
      </c>
      <c r="B185" s="14">
        <v>26</v>
      </c>
      <c r="C185" s="16">
        <f>Sheet1!C224</f>
        <v>0</v>
      </c>
      <c r="D185" s="14">
        <f>Sheet1!D224</f>
        <v>1</v>
      </c>
      <c r="E185" s="14" t="str">
        <f>Sheet1!E224</f>
        <v>Ulya</v>
      </c>
      <c r="F185" s="16">
        <f>Sheet1!F224</f>
        <v>2460</v>
      </c>
      <c r="G185" s="16" t="str">
        <f>Sheet1!G224</f>
        <v>Fahrus Salikin</v>
      </c>
      <c r="H185" s="15" t="str">
        <f>Sheet1!H224</f>
        <v>Bondowoso</v>
      </c>
      <c r="I185" s="17" t="str">
        <f>Sheet1!I224</f>
        <v>18 Juni 2006</v>
      </c>
      <c r="J185" s="14" t="str">
        <f>Sheet1!J224</f>
        <v>C 11</v>
      </c>
      <c r="K185" s="16" t="str">
        <f>Sheet1!K224</f>
        <v>Tlogosari-tlogosari-bondowoso</v>
      </c>
      <c r="L185" s="16" t="str">
        <f>Sheet1!L224</f>
        <v>Ahmad Hasbullah</v>
      </c>
      <c r="M185" s="16" t="str">
        <f>Sheet1!M224</f>
        <v>Nur Aini</v>
      </c>
      <c r="N185" s="16" t="str">
        <f ca="1">Sheet1!N224</f>
        <v>18 Tahun, 6 Bulan, 3 Hari</v>
      </c>
      <c r="O185" s="16"/>
      <c r="P185" s="16"/>
    </row>
    <row r="186" spans="1:16" hidden="1" x14ac:dyDescent="0.25">
      <c r="A186" s="13">
        <f>Sheet1!A225</f>
        <v>224</v>
      </c>
      <c r="B186" s="14">
        <v>27</v>
      </c>
      <c r="C186" s="16">
        <f>Sheet1!C225</f>
        <v>0</v>
      </c>
      <c r="D186" s="14" t="str">
        <f>Sheet1!D225</f>
        <v>1B</v>
      </c>
      <c r="E186" s="14" t="str">
        <f>Sheet1!E225</f>
        <v>Wustha</v>
      </c>
      <c r="F186" s="16">
        <f>Sheet1!F225</f>
        <v>3662</v>
      </c>
      <c r="G186" s="16" t="str">
        <f>Sheet1!G225</f>
        <v>Muhammad Riski</v>
      </c>
      <c r="H186" s="15" t="str">
        <f>Sheet1!H225</f>
        <v>Bondowoso</v>
      </c>
      <c r="I186" s="17" t="str">
        <f>Sheet1!I225</f>
        <v>21 juli 2007</v>
      </c>
      <c r="J186" s="14" t="str">
        <f>Sheet1!J225</f>
        <v>C 11</v>
      </c>
      <c r="K186" s="16" t="str">
        <f>Sheet1!K225</f>
        <v>Maskuning Kulon 12/003 Maskuning Kulon -Pujer-Bondowoso</v>
      </c>
      <c r="L186" s="16" t="str">
        <f>Sheet1!L225</f>
        <v>Muhasin</v>
      </c>
      <c r="M186" s="16" t="str">
        <f>Sheet1!M225</f>
        <v>Maimuna</v>
      </c>
      <c r="N186" s="16" t="str">
        <f ca="1">Sheet1!N225</f>
        <v>17 Tahun, 5 Bulan, 0 Hari</v>
      </c>
      <c r="O186" s="16"/>
      <c r="P186" s="16"/>
    </row>
    <row r="187" spans="1:16" hidden="1" x14ac:dyDescent="0.25">
      <c r="A187" s="13">
        <f>Sheet1!A226</f>
        <v>225</v>
      </c>
      <c r="B187" s="14">
        <v>28</v>
      </c>
      <c r="C187" s="16" t="str">
        <f>Sheet1!C226</f>
        <v>3 SMA</v>
      </c>
      <c r="D187" s="14" t="str">
        <f>Sheet1!D226</f>
        <v>1C</v>
      </c>
      <c r="E187" s="14" t="str">
        <f>Sheet1!E226</f>
        <v>Wustha</v>
      </c>
      <c r="F187" s="16">
        <f>Sheet1!F226</f>
        <v>3689</v>
      </c>
      <c r="G187" s="16" t="str">
        <f>Sheet1!G226</f>
        <v>Rudi Bachtiar Maulana</v>
      </c>
      <c r="H187" s="15" t="str">
        <f>Sheet1!H226</f>
        <v>Bondowoso,</v>
      </c>
      <c r="I187" s="17">
        <f>Sheet1!I226</f>
        <v>39048</v>
      </c>
      <c r="J187" s="14" t="str">
        <f>Sheet1!J226</f>
        <v>C 11</v>
      </c>
      <c r="K187" s="16" t="str">
        <f>Sheet1!K226</f>
        <v>JEBUNG KIDUL 16/03 JEBUNG KIDUL TLOGOSARI BONDOWOSO</v>
      </c>
      <c r="L187" s="16" t="str">
        <f>Sheet1!L226</f>
        <v>Zainal Aripin</v>
      </c>
      <c r="M187" s="16" t="str">
        <f>Sheet1!M226</f>
        <v>Saulliha</v>
      </c>
      <c r="N187" s="16" t="str">
        <f ca="1">Sheet1!N226</f>
        <v>18 Tahun, 0 Bulan, 24 Hari</v>
      </c>
      <c r="O187" s="16"/>
      <c r="P187" s="16"/>
    </row>
    <row r="188" spans="1:16" hidden="1" x14ac:dyDescent="0.25">
      <c r="A188" s="13">
        <f>Sheet1!A228</f>
        <v>227</v>
      </c>
      <c r="B188" s="14">
        <v>29</v>
      </c>
      <c r="C188" s="16">
        <f>Sheet1!C228</f>
        <v>0</v>
      </c>
      <c r="D188" s="14">
        <f>Sheet1!D228</f>
        <v>1</v>
      </c>
      <c r="E188" s="14" t="str">
        <f>Sheet1!E228</f>
        <v>Ulya</v>
      </c>
      <c r="F188" s="16">
        <f>Sheet1!F228</f>
        <v>2477</v>
      </c>
      <c r="G188" s="16" t="str">
        <f>Sheet1!G228</f>
        <v>Sholihul Ibat</v>
      </c>
      <c r="H188" s="15" t="str">
        <f>Sheet1!H228</f>
        <v>Bondowoso</v>
      </c>
      <c r="I188" s="17" t="str">
        <f>Sheet1!I228</f>
        <v>16 April 2007</v>
      </c>
      <c r="J188" s="14" t="str">
        <f>Sheet1!J228</f>
        <v>C 12</v>
      </c>
      <c r="K188" s="16" t="str">
        <f>Sheet1!K228</f>
        <v>tegal pasir-jambesari DS-bondowoso</v>
      </c>
      <c r="L188" s="16" t="str">
        <f>Sheet1!L228</f>
        <v>Erfan</v>
      </c>
      <c r="M188" s="16" t="str">
        <f>Sheet1!M228</f>
        <v>Muzaiyanah</v>
      </c>
      <c r="N188" s="16" t="str">
        <f ca="1">Sheet1!N228</f>
        <v>17 Tahun, 8 Bulan, 5 Hari</v>
      </c>
      <c r="O188" s="16"/>
      <c r="P188" s="16"/>
    </row>
    <row r="189" spans="1:16" hidden="1" x14ac:dyDescent="0.25">
      <c r="A189" s="13">
        <f>Sheet1!A229</f>
        <v>228</v>
      </c>
      <c r="B189" s="14">
        <v>30</v>
      </c>
      <c r="C189" s="16" t="str">
        <f>Sheet1!C229</f>
        <v>-</v>
      </c>
      <c r="D189" s="14" t="str">
        <f>Sheet1!D229</f>
        <v>3C</v>
      </c>
      <c r="E189" s="14" t="str">
        <f>Sheet1!E229</f>
        <v>Wustha</v>
      </c>
      <c r="F189" s="16">
        <f>Sheet1!F229</f>
        <v>2777</v>
      </c>
      <c r="G189" s="16" t="str">
        <f>Sheet1!G229</f>
        <v>Bahrullah</v>
      </c>
      <c r="H189" s="15" t="str">
        <f>Sheet1!H229</f>
        <v>Bondowoso</v>
      </c>
      <c r="I189" s="17">
        <f>Sheet1!I229</f>
        <v>38143</v>
      </c>
      <c r="J189" s="14" t="str">
        <f>Sheet1!J229</f>
        <v>C 12</v>
      </c>
      <c r="K189" s="16" t="str">
        <f>Sheet1!K229</f>
        <v>Sumber Anom-Tamanan-Bondowoso</v>
      </c>
      <c r="L189" s="16" t="str">
        <f>Sheet1!L229</f>
        <v>M.Zainullah</v>
      </c>
      <c r="M189" s="16" t="str">
        <f>Sheet1!M229</f>
        <v>Siti Komariah</v>
      </c>
      <c r="N189" s="16" t="str">
        <f ca="1">Sheet1!N229</f>
        <v>20 Tahun, 6 Bulan, 16 Hari</v>
      </c>
      <c r="O189" s="16"/>
      <c r="P189" s="16"/>
    </row>
    <row r="190" spans="1:16" hidden="1" x14ac:dyDescent="0.25">
      <c r="A190" s="13">
        <f>Sheet1!A231</f>
        <v>230</v>
      </c>
      <c r="B190" s="14">
        <v>31</v>
      </c>
      <c r="C190" s="16">
        <f>Sheet1!C231</f>
        <v>0</v>
      </c>
      <c r="D190" s="14" t="str">
        <f>Sheet1!D231</f>
        <v>3B</v>
      </c>
      <c r="E190" s="14" t="str">
        <f>Sheet1!E231</f>
        <v>Wustha</v>
      </c>
      <c r="F190" s="16">
        <f>Sheet1!F231</f>
        <v>2851</v>
      </c>
      <c r="G190" s="16" t="str">
        <f>Sheet1!G231</f>
        <v>Gadafin</v>
      </c>
      <c r="H190" s="15" t="str">
        <f>Sheet1!H231</f>
        <v>Bondowoso</v>
      </c>
      <c r="I190" s="17" t="str">
        <f>Sheet1!I231</f>
        <v>27 Agustus 2007</v>
      </c>
      <c r="J190" s="14" t="str">
        <f>Sheet1!J231</f>
        <v>C 13</v>
      </c>
      <c r="K190" s="16" t="str">
        <f>Sheet1!K231</f>
        <v>Patemon-Tlogosari-Bondowoso</v>
      </c>
      <c r="L190" s="16" t="str">
        <f>Sheet1!L231</f>
        <v xml:space="preserve">Abd.Mukid </v>
      </c>
      <c r="M190" s="16" t="str">
        <f>Sheet1!M231</f>
        <v>Bahria</v>
      </c>
      <c r="N190" s="16" t="str">
        <f ca="1">Sheet1!N231</f>
        <v>17 Tahun, 3 Bulan, 24 Hari</v>
      </c>
      <c r="O190" s="16"/>
      <c r="P190" s="16"/>
    </row>
    <row r="191" spans="1:16" hidden="1" x14ac:dyDescent="0.25">
      <c r="A191" s="13">
        <f>Sheet1!A232</f>
        <v>231</v>
      </c>
      <c r="B191" s="14">
        <v>32</v>
      </c>
      <c r="C191" s="16">
        <f>Sheet1!C232</f>
        <v>0</v>
      </c>
      <c r="D191" s="14" t="str">
        <f>Sheet1!D232</f>
        <v>3B</v>
      </c>
      <c r="E191" s="14" t="str">
        <f>Sheet1!E232</f>
        <v>Wustha</v>
      </c>
      <c r="F191" s="16">
        <f>Sheet1!F232</f>
        <v>2798</v>
      </c>
      <c r="G191" s="16" t="str">
        <f>Sheet1!G232</f>
        <v>Arju Irfan Maulana</v>
      </c>
      <c r="H191" s="15" t="str">
        <f>Sheet1!H232</f>
        <v>Bondowoso</v>
      </c>
      <c r="I191" s="17">
        <f>Sheet1!I232</f>
        <v>39122</v>
      </c>
      <c r="J191" s="14" t="str">
        <f>Sheet1!J232</f>
        <v>C 13</v>
      </c>
      <c r="K191" s="16" t="str">
        <f>Sheet1!K232</f>
        <v>Maskuning Wetan-Pujer-Bondowoso</v>
      </c>
      <c r="L191" s="16" t="str">
        <f>Sheet1!L232</f>
        <v>Abd. Halim</v>
      </c>
      <c r="M191" s="16" t="str">
        <f>Sheet1!M232</f>
        <v>Rumna Hidayati</v>
      </c>
      <c r="N191" s="16" t="str">
        <f ca="1">Sheet1!N232</f>
        <v>17 Tahun, 10 Bulan, 12 Hari</v>
      </c>
      <c r="O191" s="16"/>
      <c r="P191" s="16"/>
    </row>
    <row r="192" spans="1:16" hidden="1" x14ac:dyDescent="0.25">
      <c r="A192" s="13">
        <f>Sheet1!A234</f>
        <v>233</v>
      </c>
      <c r="B192" s="14">
        <v>33</v>
      </c>
      <c r="C192" s="16">
        <f>Sheet1!C234</f>
        <v>0</v>
      </c>
      <c r="D192" s="14">
        <f>Sheet1!D234</f>
        <v>1</v>
      </c>
      <c r="E192" s="14" t="str">
        <f>Sheet1!E234</f>
        <v>Ulya</v>
      </c>
      <c r="F192" s="16">
        <f>Sheet1!F234</f>
        <v>2910</v>
      </c>
      <c r="G192" s="16" t="str">
        <f>Sheet1!G234</f>
        <v>Muhammad Sobri</v>
      </c>
      <c r="H192" s="15" t="str">
        <f>Sheet1!H234</f>
        <v>Bondowoso</v>
      </c>
      <c r="I192" s="17">
        <f>Sheet1!I234</f>
        <v>38740</v>
      </c>
      <c r="J192" s="14" t="str">
        <f>Sheet1!J234</f>
        <v>C 14</v>
      </c>
      <c r="K192" s="16" t="str">
        <f>Sheet1!K234</f>
        <v>Patemon-tlogosari-bondowoso</v>
      </c>
      <c r="L192" s="16" t="str">
        <f>Sheet1!L234</f>
        <v>Suradi</v>
      </c>
      <c r="M192" s="16" t="str">
        <f>Sheet1!M234</f>
        <v>Sudarmi</v>
      </c>
      <c r="N192" s="16" t="str">
        <f ca="1">Sheet1!N234</f>
        <v>18 Tahun, 10 Bulan, 28 Hari</v>
      </c>
      <c r="O192" s="16"/>
      <c r="P192" s="16"/>
    </row>
    <row r="193" spans="1:16" hidden="1" x14ac:dyDescent="0.25">
      <c r="A193" s="13">
        <f>Sheet1!A235</f>
        <v>234</v>
      </c>
      <c r="B193" s="14">
        <v>34</v>
      </c>
      <c r="C193" s="16" t="str">
        <f>Sheet1!C235</f>
        <v>3 SMA</v>
      </c>
      <c r="D193" s="14" t="str">
        <f>Sheet1!D235</f>
        <v>3A</v>
      </c>
      <c r="E193" s="14" t="str">
        <f>Sheet1!E235</f>
        <v>Wustha</v>
      </c>
      <c r="F193" s="16">
        <f>Sheet1!F235</f>
        <v>2791</v>
      </c>
      <c r="G193" s="16" t="str">
        <f>Sheet1!G235</f>
        <v>Ali Wafi</v>
      </c>
      <c r="H193" s="15" t="str">
        <f>Sheet1!H235</f>
        <v>Bondowoso</v>
      </c>
      <c r="I193" s="17">
        <f>Sheet1!I235</f>
        <v>39180</v>
      </c>
      <c r="J193" s="14" t="str">
        <f>Sheet1!J235</f>
        <v>C 14</v>
      </c>
      <c r="K193" s="16" t="str">
        <f>Sheet1!K235</f>
        <v>Randu Cangkring-Pujer-Bondowoso</v>
      </c>
      <c r="L193" s="16" t="str">
        <f>Sheet1!L235</f>
        <v xml:space="preserve">Yulianto </v>
      </c>
      <c r="M193" s="16">
        <f>Sheet1!M235</f>
        <v>0</v>
      </c>
      <c r="N193" s="16" t="str">
        <f ca="1">Sheet1!N235</f>
        <v>17 Tahun, 8 Bulan, 13 Hari</v>
      </c>
      <c r="O193" s="16"/>
      <c r="P193" s="16"/>
    </row>
    <row r="194" spans="1:16" hidden="1" x14ac:dyDescent="0.25">
      <c r="A194" s="13">
        <f>Sheet1!A236</f>
        <v>235</v>
      </c>
      <c r="B194" s="14">
        <v>35</v>
      </c>
      <c r="C194" s="16">
        <f>Sheet1!C236</f>
        <v>0</v>
      </c>
      <c r="D194" s="14" t="str">
        <f>Sheet1!D236</f>
        <v>1B</v>
      </c>
      <c r="E194" s="14" t="str">
        <f>Sheet1!E236</f>
        <v>Wustha</v>
      </c>
      <c r="F194" s="16">
        <f>Sheet1!F236</f>
        <v>3657</v>
      </c>
      <c r="G194" s="16" t="str">
        <f>Sheet1!G236</f>
        <v xml:space="preserve">Hairul Anam </v>
      </c>
      <c r="H194" s="15" t="str">
        <f>Sheet1!H236</f>
        <v>Bondowoso</v>
      </c>
      <c r="I194" s="17" t="str">
        <f>Sheet1!I236</f>
        <v>10 oktober 2006</v>
      </c>
      <c r="J194" s="14" t="str">
        <f>Sheet1!J236</f>
        <v>C 14</v>
      </c>
      <c r="K194" s="16" t="str">
        <f>Sheet1!K236</f>
        <v>Patemon 018/004 Patemon-Tlogosari-Bondowoso</v>
      </c>
      <c r="L194" s="16" t="str">
        <f>Sheet1!L236</f>
        <v>Taufik Hidayat</v>
      </c>
      <c r="M194" s="16">
        <f>Sheet1!M236</f>
        <v>0</v>
      </c>
      <c r="N194" s="16" t="str">
        <f ca="1">Sheet1!N236</f>
        <v>18 Tahun, 2 Bulan, 11 Hari</v>
      </c>
      <c r="O194" s="16"/>
      <c r="P194" s="16"/>
    </row>
    <row r="195" spans="1:16" hidden="1" x14ac:dyDescent="0.25">
      <c r="A195" s="13">
        <f>Sheet1!A237</f>
        <v>236</v>
      </c>
      <c r="B195" s="14">
        <v>36</v>
      </c>
      <c r="C195" s="16" t="str">
        <f>Sheet1!C237</f>
        <v>STAI</v>
      </c>
      <c r="D195" s="14" t="str">
        <f>Sheet1!D237</f>
        <v>3C</v>
      </c>
      <c r="E195" s="14" t="str">
        <f>Sheet1!E237</f>
        <v>Wustha</v>
      </c>
      <c r="F195" s="16">
        <f>Sheet1!F237</f>
        <v>2870</v>
      </c>
      <c r="G195" s="16" t="str">
        <f>Sheet1!G237</f>
        <v>M. Ramadhan Ariel Firmansyah</v>
      </c>
      <c r="H195" s="15" t="str">
        <f>Sheet1!H237</f>
        <v>Bondowoso</v>
      </c>
      <c r="I195" s="17" t="str">
        <f>Sheet1!I237</f>
        <v>01 Juli 2005</v>
      </c>
      <c r="J195" s="14" t="str">
        <f>Sheet1!J237</f>
        <v>C 14</v>
      </c>
      <c r="K195" s="16" t="str">
        <f>Sheet1!K237</f>
        <v>Patemon-Tlogosari-Bondowoso</v>
      </c>
      <c r="L195" s="16" t="str">
        <f>Sheet1!L237</f>
        <v>Amir Mahmud</v>
      </c>
      <c r="M195" s="16" t="str">
        <f>Sheet1!M237</f>
        <v>Rukiyeh</v>
      </c>
      <c r="N195" s="16" t="str">
        <f ca="1">Sheet1!N237</f>
        <v>19 Tahun, 5 Bulan, 20 Hari</v>
      </c>
      <c r="O195" s="16"/>
      <c r="P195" s="16"/>
    </row>
    <row r="196" spans="1:16" hidden="1" x14ac:dyDescent="0.25">
      <c r="A196" s="13">
        <f>Sheet1!A238</f>
        <v>237</v>
      </c>
      <c r="B196" s="14">
        <v>37</v>
      </c>
      <c r="C196" s="16">
        <f>Sheet1!C238</f>
        <v>0</v>
      </c>
      <c r="D196" s="14" t="str">
        <f>Sheet1!D238</f>
        <v>3A</v>
      </c>
      <c r="E196" s="14" t="str">
        <f>Sheet1!E238</f>
        <v>Wustha</v>
      </c>
      <c r="F196" s="16">
        <f>Sheet1!F238</f>
        <v>2499</v>
      </c>
      <c r="G196" s="16" t="str">
        <f>Sheet1!G238</f>
        <v>Mukhtar Nurul Amin</v>
      </c>
      <c r="H196" s="15" t="str">
        <f>Sheet1!H238</f>
        <v>Bondowoso</v>
      </c>
      <c r="I196" s="17">
        <f>Sheet1!I238</f>
        <v>38161</v>
      </c>
      <c r="J196" s="14" t="str">
        <f>Sheet1!J238</f>
        <v>C 15</v>
      </c>
      <c r="K196" s="16" t="str">
        <f>Sheet1!K238</f>
        <v>Karang Tengah 035/006 Jambeanom-Jambesari DS-Bondowoso</v>
      </c>
      <c r="L196" s="16" t="str">
        <f>Sheet1!L238</f>
        <v>Slamet Sugiono</v>
      </c>
      <c r="M196" s="16" t="str">
        <f>Sheet1!M238</f>
        <v>Tunyati</v>
      </c>
      <c r="N196" s="16" t="str">
        <f ca="1">Sheet1!N238</f>
        <v>20 Tahun, 5 Bulan, 28 Hari</v>
      </c>
      <c r="O196" s="16"/>
      <c r="P196" s="16"/>
    </row>
    <row r="197" spans="1:16" hidden="1" x14ac:dyDescent="0.25">
      <c r="A197" s="13">
        <f>Sheet1!A240</f>
        <v>239</v>
      </c>
      <c r="B197" s="14">
        <v>38</v>
      </c>
      <c r="C197" s="16">
        <f>Sheet1!C240</f>
        <v>0</v>
      </c>
      <c r="D197" s="14" t="str">
        <f>Sheet1!D240</f>
        <v>2C</v>
      </c>
      <c r="E197" s="14" t="str">
        <f>Sheet1!E240</f>
        <v>Ulya</v>
      </c>
      <c r="F197" s="16">
        <f>Sheet1!F240</f>
        <v>1540</v>
      </c>
      <c r="G197" s="16" t="str">
        <f>Sheet1!G240</f>
        <v>Fikri Mislahul Qur'ani</v>
      </c>
      <c r="H197" s="15" t="str">
        <f>Sheet1!H240</f>
        <v>Bondowoso</v>
      </c>
      <c r="I197" s="17" t="str">
        <f>Sheet1!I240</f>
        <v>01 Agustus 2007</v>
      </c>
      <c r="J197" s="14" t="str">
        <f>Sheet1!J240</f>
        <v>C 16</v>
      </c>
      <c r="K197" s="16" t="str">
        <f>Sheet1!K240</f>
        <v>Dusun Krajan, 001/001, , Kec.Jambesari Darus Sholah, Kab.Bondowoso</v>
      </c>
      <c r="L197" s="16" t="str">
        <f>Sheet1!L240</f>
        <v>Samsul Arifin</v>
      </c>
      <c r="M197" s="16" t="str">
        <f>Sheet1!M240</f>
        <v>Holifah</v>
      </c>
      <c r="N197" s="16" t="str">
        <f ca="1">Sheet1!N240</f>
        <v>17 Tahun, 4 Bulan, 20 Hari</v>
      </c>
      <c r="O197" s="16"/>
      <c r="P197" s="16"/>
    </row>
    <row r="198" spans="1:16" hidden="1" x14ac:dyDescent="0.25">
      <c r="A198" s="13">
        <f>Sheet1!A241</f>
        <v>240</v>
      </c>
      <c r="B198" s="14">
        <v>39</v>
      </c>
      <c r="C198" s="16">
        <f>Sheet1!C241</f>
        <v>0</v>
      </c>
      <c r="D198" s="14">
        <f>Sheet1!D241</f>
        <v>1</v>
      </c>
      <c r="E198" s="14" t="str">
        <f>Sheet1!E241</f>
        <v>Ulya</v>
      </c>
      <c r="F198" s="16">
        <f>Sheet1!F241</f>
        <v>2420</v>
      </c>
      <c r="G198" s="16" t="str">
        <f>Sheet1!G241</f>
        <v>Muhammad Fajar Sodiq</v>
      </c>
      <c r="H198" s="15" t="str">
        <f>Sheet1!H241</f>
        <v>Bondowoso</v>
      </c>
      <c r="I198" s="17" t="str">
        <f>Sheet1!I241</f>
        <v>26 Mei 2007</v>
      </c>
      <c r="J198" s="14" t="str">
        <f>Sheet1!J241</f>
        <v>C 16</v>
      </c>
      <c r="K198" s="16" t="str">
        <f>Sheet1!K241</f>
        <v>jambeanom-jambeasri DS-Bondowoso</v>
      </c>
      <c r="L198" s="16" t="str">
        <f>Sheet1!L241</f>
        <v>jalal</v>
      </c>
      <c r="M198" s="16" t="str">
        <f>Sheet1!M241</f>
        <v>ismawati</v>
      </c>
      <c r="N198" s="16" t="str">
        <f ca="1">Sheet1!N241</f>
        <v>17 Tahun, 6 Bulan, 25 Hari</v>
      </c>
      <c r="O198" s="16"/>
      <c r="P198" s="16"/>
    </row>
    <row r="199" spans="1:16" hidden="1" x14ac:dyDescent="0.25">
      <c r="A199" s="13">
        <f>Sheet1!A242</f>
        <v>241</v>
      </c>
      <c r="B199" s="14">
        <v>40</v>
      </c>
      <c r="C199" s="16">
        <f>Sheet1!C242</f>
        <v>0</v>
      </c>
      <c r="D199" s="14" t="str">
        <f>Sheet1!D242</f>
        <v>2C</v>
      </c>
      <c r="E199" s="14" t="str">
        <f>Sheet1!E242</f>
        <v>Ulya</v>
      </c>
      <c r="F199" s="16">
        <f>Sheet1!F242</f>
        <v>1518</v>
      </c>
      <c r="G199" s="16" t="str">
        <f>Sheet1!G242</f>
        <v>Achmad Syamsi</v>
      </c>
      <c r="H199" s="15" t="str">
        <f>Sheet1!H242</f>
        <v>Bondowoso</v>
      </c>
      <c r="I199" s="17" t="str">
        <f>Sheet1!I242</f>
        <v>22 Juli 2003</v>
      </c>
      <c r="J199" s="14" t="str">
        <f>Sheet1!J242</f>
        <v>C 16</v>
      </c>
      <c r="K199" s="16" t="str">
        <f>Sheet1!K242</f>
        <v>Dusun Bajur, Rt 010/ Rw 004, Kemirian, Kec.Tamanan, Kab.Bondowoso</v>
      </c>
      <c r="L199" s="16" t="str">
        <f>Sheet1!L242</f>
        <v>Subhan</v>
      </c>
      <c r="M199" s="16">
        <f>Sheet1!M242</f>
        <v>0</v>
      </c>
      <c r="N199" s="16" t="str">
        <f ca="1">Sheet1!N242</f>
        <v>21 Tahun, 4 Bulan, 29 Hari</v>
      </c>
      <c r="O199" s="16"/>
      <c r="P199" s="16"/>
    </row>
    <row r="200" spans="1:16" hidden="1" x14ac:dyDescent="0.25">
      <c r="A200" s="13">
        <f>Sheet1!A244</f>
        <v>243</v>
      </c>
      <c r="B200" s="14">
        <v>41</v>
      </c>
      <c r="C200" s="16" t="str">
        <f>Sheet1!C244</f>
        <v>2 SMA</v>
      </c>
      <c r="D200" s="14" t="str">
        <f>Sheet1!D244</f>
        <v>3A</v>
      </c>
      <c r="E200" s="14" t="str">
        <f>Sheet1!E244</f>
        <v>Wustha</v>
      </c>
      <c r="F200" s="16">
        <f>Sheet1!F244</f>
        <v>2759</v>
      </c>
      <c r="G200" s="16" t="str">
        <f>Sheet1!G244</f>
        <v>Muhammad Maulana Akbar</v>
      </c>
      <c r="H200" s="15" t="str">
        <f>Sheet1!H244</f>
        <v>Bondowoso</v>
      </c>
      <c r="I200" s="17">
        <f>Sheet1!I244</f>
        <v>39347</v>
      </c>
      <c r="J200" s="14" t="str">
        <f>Sheet1!J244</f>
        <v>C 17</v>
      </c>
      <c r="K200" s="16" t="str">
        <f>Sheet1!K244</f>
        <v>Pekalangan-Tenggarang-Bondowoso</v>
      </c>
      <c r="L200" s="16" t="str">
        <f>Sheet1!L244</f>
        <v>Nur Hasin</v>
      </c>
      <c r="M200" s="16" t="str">
        <f>Sheet1!M244</f>
        <v>Tomyani</v>
      </c>
      <c r="N200" s="16" t="str">
        <f ca="1">Sheet1!N244</f>
        <v>17 Tahun, 2 Bulan, 29 Hari</v>
      </c>
      <c r="O200" s="16"/>
      <c r="P200" s="16"/>
    </row>
    <row r="201" spans="1:16" hidden="1" x14ac:dyDescent="0.25">
      <c r="A201" s="13">
        <f>Sheet1!A245</f>
        <v>244</v>
      </c>
      <c r="B201" s="14">
        <v>42</v>
      </c>
      <c r="C201" s="16">
        <f>Sheet1!C245</f>
        <v>0</v>
      </c>
      <c r="D201" s="14" t="str">
        <f>Sheet1!D245</f>
        <v>2D</v>
      </c>
      <c r="E201" s="14" t="str">
        <f>Sheet1!E245</f>
        <v>Wustha</v>
      </c>
      <c r="F201" s="16">
        <f>Sheet1!F245</f>
        <v>3291</v>
      </c>
      <c r="G201" s="16" t="str">
        <f>Sheet1!G245</f>
        <v>Abdul Ghafur</v>
      </c>
      <c r="H201" s="15" t="str">
        <f>Sheet1!H245</f>
        <v>Bondowoso</v>
      </c>
      <c r="I201" s="17">
        <f>Sheet1!I245</f>
        <v>39213</v>
      </c>
      <c r="J201" s="14" t="str">
        <f>Sheet1!J245</f>
        <v>C 17</v>
      </c>
      <c r="K201" s="16" t="str">
        <f>Sheet1!K245</f>
        <v>Dusun Karang Tengah 011/003 Pengarang Jambesari Darus Sholah Bondowoso</v>
      </c>
      <c r="L201" s="16" t="str">
        <f>Sheet1!L245</f>
        <v>Miskali</v>
      </c>
      <c r="M201" s="16">
        <f>Sheet1!M245</f>
        <v>0</v>
      </c>
      <c r="N201" s="16" t="str">
        <f ca="1">Sheet1!N245</f>
        <v>17 Tahun, 7 Bulan, 10 Hari</v>
      </c>
      <c r="O201" s="16"/>
      <c r="P201" s="16"/>
    </row>
    <row r="202" spans="1:16" hidden="1" x14ac:dyDescent="0.25">
      <c r="A202" s="13">
        <f>Sheet1!A246</f>
        <v>245</v>
      </c>
      <c r="B202" s="14">
        <v>43</v>
      </c>
      <c r="C202" s="16" t="str">
        <f>Sheet1!C246</f>
        <v>2 SMA</v>
      </c>
      <c r="D202" s="14" t="str">
        <f>Sheet1!D246</f>
        <v>1D</v>
      </c>
      <c r="E202" s="14" t="str">
        <f>Sheet1!E246</f>
        <v>Wustha</v>
      </c>
      <c r="F202" s="16">
        <f>Sheet1!F246</f>
        <v>3308</v>
      </c>
      <c r="G202" s="16" t="str">
        <f>Sheet1!G246</f>
        <v>Muhammad Firmansyah</v>
      </c>
      <c r="H202" s="15" t="str">
        <f>Sheet1!H246</f>
        <v>Bondowoso</v>
      </c>
      <c r="I202" s="17">
        <f>Sheet1!I246</f>
        <v>39220</v>
      </c>
      <c r="J202" s="14" t="str">
        <f>Sheet1!J246</f>
        <v>C 17</v>
      </c>
      <c r="K202" s="16" t="str">
        <f>Sheet1!K246</f>
        <v>Dusun Paceh 011/004 Pejagan Jambesari Darus Sholah Bondowoso</v>
      </c>
      <c r="L202" s="16" t="str">
        <f>Sheet1!L246</f>
        <v>Hoddin</v>
      </c>
      <c r="M202" s="16" t="str">
        <f>Sheet1!M246</f>
        <v>Horniyati</v>
      </c>
      <c r="N202" s="16" t="str">
        <f ca="1">Sheet1!N246</f>
        <v>17 Tahun, 7 Bulan, 3 Hari</v>
      </c>
      <c r="O202" s="16"/>
      <c r="P202" s="16"/>
    </row>
    <row r="203" spans="1:16" hidden="1" x14ac:dyDescent="0.25">
      <c r="A203" s="13">
        <f>Sheet1!A247</f>
        <v>246</v>
      </c>
      <c r="B203" s="14">
        <v>44</v>
      </c>
      <c r="C203" s="16">
        <f>Sheet1!C247</f>
        <v>0</v>
      </c>
      <c r="D203" s="14" t="str">
        <f>Sheet1!D247</f>
        <v>3B</v>
      </c>
      <c r="E203" s="14" t="str">
        <f>Sheet1!E247</f>
        <v>Wustha</v>
      </c>
      <c r="F203" s="16">
        <f>Sheet1!F247</f>
        <v>2142</v>
      </c>
      <c r="G203" s="16" t="str">
        <f>Sheet1!G247</f>
        <v>Mahrus Ali</v>
      </c>
      <c r="H203" s="15" t="str">
        <f>Sheet1!H247</f>
        <v>Bondowoso</v>
      </c>
      <c r="I203" s="17" t="str">
        <f>Sheet1!I247</f>
        <v>11 Oktober 2005</v>
      </c>
      <c r="J203" s="14" t="str">
        <f>Sheet1!J247</f>
        <v>C 17</v>
      </c>
      <c r="K203" s="16" t="str">
        <f>Sheet1!K247</f>
        <v>Pengarang-Jambesari Darus Sholah-Bobdowoso</v>
      </c>
      <c r="L203" s="16" t="str">
        <f>Sheet1!L247</f>
        <v>Yuli Wahyudi</v>
      </c>
      <c r="M203" s="16" t="str">
        <f>Sheet1!M247</f>
        <v>Komariyah</v>
      </c>
      <c r="N203" s="16" t="str">
        <f ca="1">Sheet1!N247</f>
        <v>19 Tahun, 2 Bulan, 10 Hari</v>
      </c>
      <c r="O203" s="16"/>
      <c r="P203" s="16"/>
    </row>
    <row r="204" spans="1:16" hidden="1" x14ac:dyDescent="0.25">
      <c r="A204" s="13">
        <f>Sheet1!A248</f>
        <v>247</v>
      </c>
      <c r="B204" s="14">
        <v>2</v>
      </c>
      <c r="C204" s="16">
        <f>Sheet1!C248</f>
        <v>0</v>
      </c>
      <c r="D204" s="14" t="str">
        <f>Sheet1!D248</f>
        <v>2C</v>
      </c>
      <c r="E204" s="14" t="str">
        <f>Sheet1!E248</f>
        <v>Ulya</v>
      </c>
      <c r="F204" s="16">
        <f>Sheet1!F248</f>
        <v>1533</v>
      </c>
      <c r="G204" s="16" t="str">
        <f>Sheet1!G248</f>
        <v>Baikuni Fahmi</v>
      </c>
      <c r="H204" s="15" t="str">
        <f>Sheet1!H248</f>
        <v>Bondowoso</v>
      </c>
      <c r="I204" s="17" t="str">
        <f>Sheet1!I248</f>
        <v>20 Februari 2003</v>
      </c>
      <c r="J204" s="14" t="str">
        <f>Sheet1!J248</f>
        <v>D 01</v>
      </c>
      <c r="K204" s="16" t="str">
        <f>Sheet1!K248</f>
        <v xml:space="preserve">Sulek, Rt 002/Rw 001, Kec.Tlogosari, Kab.Bondowoso, </v>
      </c>
      <c r="L204" s="16" t="str">
        <f>Sheet1!L248</f>
        <v>HOLIH</v>
      </c>
      <c r="M204" s="16" t="str">
        <f>Sheet1!M248</f>
        <v>YUYUN</v>
      </c>
      <c r="N204" s="16" t="str">
        <f ca="1">Sheet1!N248</f>
        <v>21 Tahun, 10 Bulan, 1 Hari</v>
      </c>
      <c r="O204" s="16"/>
      <c r="P204" s="16"/>
    </row>
    <row r="205" spans="1:16" hidden="1" x14ac:dyDescent="0.25">
      <c r="A205" s="13">
        <f>Sheet1!A249</f>
        <v>248</v>
      </c>
      <c r="B205" s="14">
        <v>3</v>
      </c>
      <c r="C205" s="16">
        <f>Sheet1!C249</f>
        <v>0</v>
      </c>
      <c r="D205" s="14">
        <f>Sheet1!D249</f>
        <v>1</v>
      </c>
      <c r="E205" s="14" t="str">
        <f>Sheet1!E249</f>
        <v>Ulya</v>
      </c>
      <c r="F205" s="16">
        <f>Sheet1!F249</f>
        <v>2908</v>
      </c>
      <c r="G205" s="16" t="str">
        <f>Sheet1!G249</f>
        <v>Muhammad Zainuri</v>
      </c>
      <c r="H205" s="15" t="str">
        <f>Sheet1!H249</f>
        <v>Jember</v>
      </c>
      <c r="I205" s="17">
        <f>Sheet1!I249</f>
        <v>38457</v>
      </c>
      <c r="J205" s="14" t="str">
        <f>Sheet1!J249</f>
        <v>D 01</v>
      </c>
      <c r="K205" s="16" t="str">
        <f>Sheet1!K249</f>
        <v>Arjasa-Sukowono-Jembe</v>
      </c>
      <c r="L205" s="16" t="str">
        <f>Sheet1!L249</f>
        <v>Hamidi Fauzi</v>
      </c>
      <c r="M205" s="16" t="str">
        <f>Sheet1!M249</f>
        <v>Errum</v>
      </c>
      <c r="N205" s="16" t="str">
        <f ca="1">Sheet1!N249</f>
        <v>19 Tahun, 8 Bulan, 6 Hari</v>
      </c>
      <c r="O205" s="16"/>
      <c r="P205" s="16"/>
    </row>
    <row r="206" spans="1:16" hidden="1" x14ac:dyDescent="0.25">
      <c r="A206" s="13">
        <f>Sheet1!A251</f>
        <v>250</v>
      </c>
      <c r="B206" s="14">
        <v>4</v>
      </c>
      <c r="C206" s="16">
        <f>Sheet1!C251</f>
        <v>0</v>
      </c>
      <c r="D206" s="14">
        <f>Sheet1!D251</f>
        <v>1</v>
      </c>
      <c r="E206" s="14" t="str">
        <f>Sheet1!E251</f>
        <v>Ulya</v>
      </c>
      <c r="F206" s="16">
        <f>Sheet1!F251</f>
        <v>2533</v>
      </c>
      <c r="G206" s="16" t="str">
        <f>Sheet1!G251</f>
        <v>Farhan Ali</v>
      </c>
      <c r="H206" s="15" t="str">
        <f>Sheet1!H251</f>
        <v>Bondowoso</v>
      </c>
      <c r="I206" s="17" t="str">
        <f>Sheet1!I251</f>
        <v>22 Agustus 2007</v>
      </c>
      <c r="J206" s="14" t="str">
        <f>Sheet1!J251</f>
        <v>D 02</v>
      </c>
      <c r="K206" s="16" t="str">
        <f>Sheet1!K251</f>
        <v>trotosari-tlogosari-bondowoso</v>
      </c>
      <c r="L206" s="16" t="str">
        <f>Sheet1!L251</f>
        <v>Muhammad Muftir</v>
      </c>
      <c r="M206" s="16" t="str">
        <f>Sheet1!M251</f>
        <v>Suryani</v>
      </c>
      <c r="N206" s="16" t="str">
        <f ca="1">Sheet1!N251</f>
        <v>17 Tahun, 3 Bulan, 29 Hari</v>
      </c>
      <c r="O206" s="16"/>
      <c r="P206" s="16"/>
    </row>
    <row r="207" spans="1:16" hidden="1" x14ac:dyDescent="0.25">
      <c r="A207" s="13">
        <f>Sheet1!A252</f>
        <v>251</v>
      </c>
      <c r="B207" s="14">
        <v>5</v>
      </c>
      <c r="C207" s="16">
        <f>Sheet1!C252</f>
        <v>0</v>
      </c>
      <c r="D207" s="14" t="str">
        <f>Sheet1!D252</f>
        <v>2B</v>
      </c>
      <c r="E207" s="14" t="str">
        <f>Sheet1!E252</f>
        <v>Ulya</v>
      </c>
      <c r="F207" s="16">
        <f>Sheet1!F252</f>
        <v>1585</v>
      </c>
      <c r="G207" s="16" t="str">
        <f>Sheet1!G252</f>
        <v>Muhammad Kafilurrozaq</v>
      </c>
      <c r="H207" s="15" t="str">
        <f>Sheet1!H252</f>
        <v>Bondowoso</v>
      </c>
      <c r="I207" s="17" t="str">
        <f>Sheet1!I252</f>
        <v>20 Agustus 2007</v>
      </c>
      <c r="J207" s="14" t="str">
        <f>Sheet1!J252</f>
        <v>D 02</v>
      </c>
      <c r="K207" s="16" t="str">
        <f>Sheet1!K252</f>
        <v>Mengok, Rt 007/Rw 002, , Kec. Pujer, Kab. Bondowoso</v>
      </c>
      <c r="L207" s="16" t="str">
        <f>Sheet1!L252</f>
        <v>Supriyadi</v>
      </c>
      <c r="M207" s="16" t="str">
        <f>Sheet1!M252</f>
        <v>Supriya</v>
      </c>
      <c r="N207" s="16" t="str">
        <f ca="1">Sheet1!N252</f>
        <v>17 Tahun, 4 Bulan, 1 Hari</v>
      </c>
      <c r="O207" s="16"/>
      <c r="P207" s="16"/>
    </row>
    <row r="208" spans="1:16" hidden="1" x14ac:dyDescent="0.25">
      <c r="A208" s="13">
        <f>Sheet1!A253</f>
        <v>252</v>
      </c>
      <c r="B208" s="14">
        <v>6</v>
      </c>
      <c r="C208" s="16">
        <f>Sheet1!C253</f>
        <v>0</v>
      </c>
      <c r="D208" s="14">
        <f>Sheet1!D253</f>
        <v>1</v>
      </c>
      <c r="E208" s="14" t="str">
        <f>Sheet1!E253</f>
        <v>Ulya</v>
      </c>
      <c r="F208" s="16">
        <f>Sheet1!F253</f>
        <v>3130</v>
      </c>
      <c r="G208" s="16" t="str">
        <f>Sheet1!G253</f>
        <v>Muhammad Rifki Ananda Ainil Quby</v>
      </c>
      <c r="H208" s="15" t="str">
        <f>Sheet1!H253</f>
        <v>Bondowoso</v>
      </c>
      <c r="I208" s="17">
        <f>Sheet1!I253</f>
        <v>39207</v>
      </c>
      <c r="J208" s="14" t="str">
        <f>Sheet1!J253</f>
        <v>D 02</v>
      </c>
      <c r="K208" s="16" t="str">
        <f>Sheet1!K253</f>
        <v>Jambeanum</v>
      </c>
      <c r="L208" s="16" t="str">
        <f>Sheet1!L253</f>
        <v>Saifur/Adnan</v>
      </c>
      <c r="M208" s="16" t="str">
        <f>Sheet1!M253</f>
        <v>Nurainiyatun</v>
      </c>
      <c r="N208" s="16" t="str">
        <f ca="1">Sheet1!N253</f>
        <v>17 Tahun, 7 Bulan, 16 Hari</v>
      </c>
      <c r="O208" s="16"/>
      <c r="P208" s="16"/>
    </row>
    <row r="209" spans="1:16" hidden="1" x14ac:dyDescent="0.25">
      <c r="A209" s="13">
        <f>Sheet1!A254</f>
        <v>253</v>
      </c>
      <c r="B209" s="14">
        <v>7</v>
      </c>
      <c r="C209" s="16">
        <f>Sheet1!C254</f>
        <v>0</v>
      </c>
      <c r="D209" s="14" t="str">
        <f>Sheet1!D254</f>
        <v>2C</v>
      </c>
      <c r="E209" s="14" t="str">
        <f>Sheet1!E254</f>
        <v>Ulya</v>
      </c>
      <c r="F209" s="16">
        <f>Sheet1!F254</f>
        <v>1583</v>
      </c>
      <c r="G209" s="16" t="str">
        <f>Sheet1!G254</f>
        <v>Muhammad Iqbal Irfansyah</v>
      </c>
      <c r="H209" s="15" t="str">
        <f>Sheet1!H254</f>
        <v>Bondowoso</v>
      </c>
      <c r="I209" s="17" t="str">
        <f>Sheet1!I254</f>
        <v>22 November 2006</v>
      </c>
      <c r="J209" s="14" t="str">
        <f>Sheet1!J254</f>
        <v>D 02</v>
      </c>
      <c r="K209" s="16" t="str">
        <f>Sheet1!K254</f>
        <v xml:space="preserve">Desa Sulek, Rt 001/Rw 001, Kec.Tlogosari, Kab. Bondowoso, </v>
      </c>
      <c r="L209" s="16" t="str">
        <f>Sheet1!L254</f>
        <v>Sumarno</v>
      </c>
      <c r="M209" s="16" t="str">
        <f>Sheet1!M254</f>
        <v>Susilowati</v>
      </c>
      <c r="N209" s="16" t="str">
        <f ca="1">Sheet1!N254</f>
        <v>18 Tahun, 0 Bulan, 29 Hari</v>
      </c>
      <c r="O209" s="16"/>
      <c r="P209" s="16"/>
    </row>
    <row r="210" spans="1:16" hidden="1" x14ac:dyDescent="0.25">
      <c r="A210" s="13">
        <f>Sheet1!A255</f>
        <v>254</v>
      </c>
      <c r="B210" s="14">
        <v>8</v>
      </c>
      <c r="C210" s="16">
        <f>Sheet1!C255</f>
        <v>0</v>
      </c>
      <c r="D210" s="14" t="str">
        <f>Sheet1!D255</f>
        <v>2A</v>
      </c>
      <c r="E210" s="14" t="str">
        <f>Sheet1!E255</f>
        <v>Ulya</v>
      </c>
      <c r="F210" s="16">
        <f>Sheet1!F255</f>
        <v>1605</v>
      </c>
      <c r="G210" s="16" t="str">
        <f>Sheet1!G255</f>
        <v>Rizal Arisandi</v>
      </c>
      <c r="H210" s="15" t="str">
        <f>Sheet1!H255</f>
        <v>Bondowoso</v>
      </c>
      <c r="I210" s="17" t="str">
        <f>Sheet1!I255</f>
        <v>20 Desember 2004</v>
      </c>
      <c r="J210" s="14" t="str">
        <f>Sheet1!J255</f>
        <v>D 02</v>
      </c>
      <c r="K210" s="16" t="str">
        <f>Sheet1!K255</f>
        <v>Dusun Kebun Karang, Rt 022/ Rw 004, Pucang Anom, Kec.Jambesari Darus Sholah, Kab.Bondowoso</v>
      </c>
      <c r="L210" s="16" t="str">
        <f>Sheet1!L255</f>
        <v>Muhammad Slamet</v>
      </c>
      <c r="M210" s="16" t="str">
        <f>Sheet1!M255</f>
        <v>Saenap</v>
      </c>
      <c r="N210" s="16" t="str">
        <f ca="1">Sheet1!N255</f>
        <v>20 Tahun, 0 Bulan, 1 Hari</v>
      </c>
      <c r="O210" s="16"/>
      <c r="P210" s="16"/>
    </row>
    <row r="211" spans="1:16" hidden="1" x14ac:dyDescent="0.25">
      <c r="A211" s="13">
        <f>Sheet1!A256</f>
        <v>255</v>
      </c>
      <c r="B211" s="14">
        <v>9</v>
      </c>
      <c r="C211" s="16">
        <f>Sheet1!C256</f>
        <v>0</v>
      </c>
      <c r="D211" s="14">
        <f>Sheet1!D256</f>
        <v>1</v>
      </c>
      <c r="E211" s="14" t="str">
        <f>Sheet1!E256</f>
        <v>Ulya</v>
      </c>
      <c r="F211" s="16">
        <f>Sheet1!F256</f>
        <v>2520</v>
      </c>
      <c r="G211" s="16" t="str">
        <f>Sheet1!G256</f>
        <v>Mohammad Fahri</v>
      </c>
      <c r="H211" s="15" t="str">
        <f>Sheet1!H256</f>
        <v>Bondowoso</v>
      </c>
      <c r="I211" s="17" t="str">
        <f>Sheet1!I256</f>
        <v>20 Sep 2005</v>
      </c>
      <c r="J211" s="14" t="str">
        <f>Sheet1!J256</f>
        <v>D 02</v>
      </c>
      <c r="K211" s="16" t="str">
        <f>Sheet1!K256</f>
        <v>Sumber Jeruk-Jambesari DS Bondowoso</v>
      </c>
      <c r="L211" s="16" t="str">
        <f>Sheet1!L256</f>
        <v>Jufri</v>
      </c>
      <c r="M211" s="16" t="str">
        <f>Sheet1!M256</f>
        <v>Maya Yunita</v>
      </c>
      <c r="N211" s="16" t="str">
        <f ca="1">Sheet1!N256</f>
        <v>19 Tahun, 3 Bulan, 1 Hari</v>
      </c>
      <c r="O211" s="16"/>
      <c r="P211" s="16"/>
    </row>
    <row r="212" spans="1:16" hidden="1" x14ac:dyDescent="0.25">
      <c r="A212" s="13">
        <f>Sheet1!A257</f>
        <v>256</v>
      </c>
      <c r="B212" s="14">
        <v>10</v>
      </c>
      <c r="C212" s="16" t="str">
        <f>Sheet1!C257</f>
        <v>3 MTS</v>
      </c>
      <c r="D212" s="14" t="str">
        <f>Sheet1!D257</f>
        <v>1D</v>
      </c>
      <c r="E212" s="14" t="str">
        <f>Sheet1!E257</f>
        <v>Wustha</v>
      </c>
      <c r="F212" s="16">
        <f>Sheet1!F257</f>
        <v>3699</v>
      </c>
      <c r="G212" s="16" t="str">
        <f>Sheet1!G257</f>
        <v>Muhammad Bagir</v>
      </c>
      <c r="H212" s="15" t="str">
        <f>Sheet1!H257</f>
        <v>Bondowoso</v>
      </c>
      <c r="I212" s="17">
        <f>Sheet1!I257</f>
        <v>39341</v>
      </c>
      <c r="J212" s="14" t="str">
        <f>Sheet1!J257</f>
        <v>D 02</v>
      </c>
      <c r="K212" s="16" t="str">
        <f>Sheet1!K257</f>
        <v>Jebung Kidul 001/001 Jebung Kidul Tlogosari Bondowoso Jawa Timur</v>
      </c>
      <c r="L212" s="16" t="str">
        <f>Sheet1!L257</f>
        <v>Imam Safi'i</v>
      </c>
      <c r="M212" s="16" t="str">
        <f>Sheet1!M257</f>
        <v>Laili</v>
      </c>
      <c r="N212" s="16" t="str">
        <f ca="1">Sheet1!N257</f>
        <v>17 Tahun, 3 Bulan, 5 Hari</v>
      </c>
      <c r="O212" s="16"/>
      <c r="P212" s="16"/>
    </row>
    <row r="213" spans="1:16" hidden="1" x14ac:dyDescent="0.25">
      <c r="A213" s="13">
        <f>Sheet1!A258</f>
        <v>257</v>
      </c>
      <c r="B213" s="14">
        <v>11</v>
      </c>
      <c r="C213" s="16">
        <f>Sheet1!C258</f>
        <v>0</v>
      </c>
      <c r="D213" s="14">
        <f>Sheet1!D258</f>
        <v>1</v>
      </c>
      <c r="E213" s="14" t="str">
        <f>Sheet1!E258</f>
        <v>Ulya</v>
      </c>
      <c r="F213" s="16">
        <f>Sheet1!F258</f>
        <v>3132</v>
      </c>
      <c r="G213" s="16" t="str">
        <f>Sheet1!G258</f>
        <v>Ahmadil Fata</v>
      </c>
      <c r="H213" s="15" t="str">
        <f>Sheet1!H258</f>
        <v>Bondowoso</v>
      </c>
      <c r="I213" s="17">
        <f>Sheet1!I258</f>
        <v>39078</v>
      </c>
      <c r="J213" s="14" t="str">
        <f>Sheet1!J258</f>
        <v>D 03</v>
      </c>
      <c r="K213" s="16" t="str">
        <f>Sheet1!K258</f>
        <v>Mengok</v>
      </c>
      <c r="L213" s="16" t="str">
        <f>Sheet1!L258</f>
        <v>Abdul Aziz</v>
      </c>
      <c r="M213" s="16" t="str">
        <f>Sheet1!M258</f>
        <v xml:space="preserve">Dewi Samsul Laimi </v>
      </c>
      <c r="N213" s="16" t="str">
        <f ca="1">Sheet1!N258</f>
        <v>17 Tahun, 11 Bulan, 24 Hari</v>
      </c>
      <c r="O213" s="16"/>
      <c r="P213" s="16"/>
    </row>
    <row r="214" spans="1:16" hidden="1" x14ac:dyDescent="0.25">
      <c r="A214" s="13">
        <f>Sheet1!A259</f>
        <v>258</v>
      </c>
      <c r="B214" s="14">
        <v>12</v>
      </c>
      <c r="C214" s="16">
        <f>Sheet1!C259</f>
        <v>0</v>
      </c>
      <c r="D214" s="14" t="str">
        <f>Sheet1!D259</f>
        <v>2C</v>
      </c>
      <c r="E214" s="14" t="str">
        <f>Sheet1!E259</f>
        <v>Ulya</v>
      </c>
      <c r="F214" s="16">
        <f>Sheet1!F259</f>
        <v>1553</v>
      </c>
      <c r="G214" s="16" t="str">
        <f>Sheet1!G259</f>
        <v>Lukmanul Hakim</v>
      </c>
      <c r="H214" s="15" t="str">
        <f>Sheet1!H259</f>
        <v>Bondowoso</v>
      </c>
      <c r="I214" s="17" t="str">
        <f>Sheet1!I259</f>
        <v>23 September 2006</v>
      </c>
      <c r="J214" s="14" t="str">
        <f>Sheet1!J259</f>
        <v>D 03</v>
      </c>
      <c r="K214" s="16" t="str">
        <f>Sheet1!K259</f>
        <v>Desa Mengok, Rt 027/Rw 008, , Kec.Pujer, Bondowoso</v>
      </c>
      <c r="L214" s="16" t="str">
        <f>Sheet1!L259</f>
        <v>As'at</v>
      </c>
      <c r="M214" s="16" t="str">
        <f>Sheet1!M259</f>
        <v>Juswati</v>
      </c>
      <c r="N214" s="16" t="str">
        <f ca="1">Sheet1!N259</f>
        <v>18 Tahun, 2 Bulan, 28 Hari</v>
      </c>
      <c r="O214" s="16"/>
      <c r="P214" s="16"/>
    </row>
    <row r="215" spans="1:16" hidden="1" x14ac:dyDescent="0.25">
      <c r="A215" s="13">
        <f>Sheet1!A260</f>
        <v>259</v>
      </c>
      <c r="B215" s="14">
        <v>13</v>
      </c>
      <c r="C215" s="16">
        <f>Sheet1!C260</f>
        <v>0</v>
      </c>
      <c r="D215" s="14" t="str">
        <f>Sheet1!D260</f>
        <v>2B</v>
      </c>
      <c r="E215" s="14" t="str">
        <f>Sheet1!E260</f>
        <v>Ulya</v>
      </c>
      <c r="F215" s="16">
        <f>Sheet1!F260</f>
        <v>1587</v>
      </c>
      <c r="G215" s="16" t="str">
        <f>Sheet1!G260</f>
        <v>Muhammad Lukmanul Hakim</v>
      </c>
      <c r="H215" s="15" t="str">
        <f>Sheet1!H260</f>
        <v>Bondowoso</v>
      </c>
      <c r="I215" s="17" t="str">
        <f>Sheet1!I260</f>
        <v>25 Juni 2005</v>
      </c>
      <c r="J215" s="14" t="str">
        <f>Sheet1!J260</f>
        <v>D 03</v>
      </c>
      <c r="K215" s="16" t="str">
        <f>Sheet1!K260</f>
        <v>Dusun Singal, Rt 020/ Rw 004, Wonosuko, Kec.Tamanan, Kab.Bondowoso</v>
      </c>
      <c r="L215" s="16" t="str">
        <f>Sheet1!L260</f>
        <v>Abdullah</v>
      </c>
      <c r="M215" s="16" t="str">
        <f>Sheet1!M260</f>
        <v>Zainap</v>
      </c>
      <c r="N215" s="16" t="str">
        <f ca="1">Sheet1!N260</f>
        <v>19 Tahun, 5 Bulan, 26 Hari</v>
      </c>
      <c r="O215" s="16"/>
      <c r="P215" s="16"/>
    </row>
    <row r="216" spans="1:16" hidden="1" x14ac:dyDescent="0.25">
      <c r="A216" s="13">
        <f>Sheet1!A261</f>
        <v>260</v>
      </c>
      <c r="B216" s="14">
        <v>14</v>
      </c>
      <c r="C216" s="16" t="str">
        <f>Sheet1!C261</f>
        <v>2 SMP</v>
      </c>
      <c r="D216" s="14" t="str">
        <f>Sheet1!D261</f>
        <v>2A</v>
      </c>
      <c r="E216" s="14" t="str">
        <f>Sheet1!E261</f>
        <v>Wustha</v>
      </c>
      <c r="F216" s="16">
        <f>Sheet1!F261</f>
        <v>3512</v>
      </c>
      <c r="G216" s="16" t="str">
        <f>Sheet1!G261</f>
        <v>Ahmad Zuhri</v>
      </c>
      <c r="H216" s="15" t="str">
        <f>Sheet1!H261</f>
        <v>Bondowoso</v>
      </c>
      <c r="I216" s="17">
        <f>Sheet1!I261</f>
        <v>0</v>
      </c>
      <c r="J216" s="14" t="str">
        <f>Sheet1!J261</f>
        <v>D 03</v>
      </c>
      <c r="K216" s="16" t="str">
        <f>Sheet1!K261</f>
        <v>Mengok Pujer Bondowoso</v>
      </c>
      <c r="L216" s="16" t="str">
        <f>Sheet1!L261</f>
        <v>Sugianto</v>
      </c>
      <c r="M216" s="16" t="str">
        <f>Sheet1!M261</f>
        <v>Watiningsih</v>
      </c>
      <c r="N216" s="16" t="str">
        <f ca="1">Sheet1!N261</f>
        <v>124 Tahun, 11 Bulan, 21 Hari</v>
      </c>
      <c r="O216" s="16"/>
      <c r="P216" s="16"/>
    </row>
    <row r="217" spans="1:16" hidden="1" x14ac:dyDescent="0.25">
      <c r="A217" s="13">
        <f>Sheet1!A262</f>
        <v>261</v>
      </c>
      <c r="B217" s="14">
        <v>15</v>
      </c>
      <c r="C217" s="16">
        <f>Sheet1!C262</f>
        <v>0</v>
      </c>
      <c r="D217" s="14">
        <f>Sheet1!D262</f>
        <v>1</v>
      </c>
      <c r="E217" s="14" t="str">
        <f>Sheet1!E262</f>
        <v>Ulya</v>
      </c>
      <c r="F217" s="16">
        <f>Sheet1!F262</f>
        <v>2901</v>
      </c>
      <c r="G217" s="16" t="str">
        <f>Sheet1!G262</f>
        <v>Imam Adibi</v>
      </c>
      <c r="H217" s="15" t="str">
        <f>Sheet1!H262</f>
        <v>Bondowoso</v>
      </c>
      <c r="I217" s="17">
        <f>Sheet1!I262</f>
        <v>38668</v>
      </c>
      <c r="J217" s="14" t="str">
        <f>Sheet1!J262</f>
        <v>D 04</v>
      </c>
      <c r="K217" s="16" t="str">
        <f>Sheet1!K262</f>
        <v>Grujugan Kidul-Grujugan-Bondowoso</v>
      </c>
      <c r="L217" s="16" t="str">
        <f>Sheet1!L262</f>
        <v>Rasi</v>
      </c>
      <c r="M217" s="16" t="str">
        <f>Sheet1!M262</f>
        <v>Hayati</v>
      </c>
      <c r="N217" s="16" t="str">
        <f ca="1">Sheet1!N262</f>
        <v>19 Tahun, 1 Bulan, 9 Hari</v>
      </c>
      <c r="O217" s="16"/>
      <c r="P217" s="16"/>
    </row>
    <row r="218" spans="1:16" hidden="1" x14ac:dyDescent="0.25">
      <c r="A218" s="13">
        <f>Sheet1!A263</f>
        <v>262</v>
      </c>
      <c r="B218" s="14">
        <v>16</v>
      </c>
      <c r="C218" s="16">
        <f>Sheet1!C263</f>
        <v>0</v>
      </c>
      <c r="D218" s="14" t="str">
        <f>Sheet1!D263</f>
        <v>2B</v>
      </c>
      <c r="E218" s="14" t="str">
        <f>Sheet1!E263</f>
        <v>Ulya</v>
      </c>
      <c r="F218" s="16">
        <f>Sheet1!F263</f>
        <v>1527</v>
      </c>
      <c r="G218" s="16" t="str">
        <f>Sheet1!G263</f>
        <v>Ahmad Zekki Mustofa</v>
      </c>
      <c r="H218" s="15" t="str">
        <f>Sheet1!H263</f>
        <v>Bondowoso</v>
      </c>
      <c r="I218" s="17" t="str">
        <f>Sheet1!I263</f>
        <v>07 Juli 2003</v>
      </c>
      <c r="J218" s="14" t="str">
        <f>Sheet1!J263</f>
        <v>D 04</v>
      </c>
      <c r="K218" s="16" t="str">
        <f>Sheet1!K263</f>
        <v>Jatian, Rt 031/RW 010, Desa Tapen, Kec. Tapen, Kab. Bondowoso</v>
      </c>
      <c r="L218" s="16" t="str">
        <f>Sheet1!L263</f>
        <v>Tauhed</v>
      </c>
      <c r="M218" s="16" t="str">
        <f>Sheet1!M263</f>
        <v>Masturah</v>
      </c>
      <c r="N218" s="16" t="str">
        <f ca="1">Sheet1!N263</f>
        <v>21 Tahun, 5 Bulan, 14 Hari</v>
      </c>
      <c r="O218" s="16"/>
      <c r="P218" s="16"/>
    </row>
    <row r="219" spans="1:16" hidden="1" x14ac:dyDescent="0.25">
      <c r="A219" s="13">
        <f>Sheet1!A264</f>
        <v>263</v>
      </c>
      <c r="B219" s="14">
        <v>17</v>
      </c>
      <c r="C219" s="16" t="str">
        <f>Sheet1!C264</f>
        <v>-</v>
      </c>
      <c r="D219" s="14" t="str">
        <f>Sheet1!D264</f>
        <v>2C</v>
      </c>
      <c r="E219" s="14" t="str">
        <f>Sheet1!E264</f>
        <v>Wustha</v>
      </c>
      <c r="F219" s="16">
        <f>Sheet1!F264</f>
        <v>3268</v>
      </c>
      <c r="G219" s="16" t="str">
        <f>Sheet1!G264</f>
        <v>M. Zaenol</v>
      </c>
      <c r="H219" s="15" t="str">
        <f>Sheet1!H264</f>
        <v>Bondowoso</v>
      </c>
      <c r="I219" s="17">
        <f>Sheet1!I264</f>
        <v>39011</v>
      </c>
      <c r="J219" s="14" t="str">
        <f>Sheet1!J264</f>
        <v>D 04</v>
      </c>
      <c r="K219" s="16" t="str">
        <f>Sheet1!K264</f>
        <v>Sukowono 01/01 Pujer Bondowoso</v>
      </c>
      <c r="L219" s="16" t="str">
        <f>Sheet1!L264</f>
        <v>Abd. Halik</v>
      </c>
      <c r="M219" s="16" t="str">
        <f>Sheet1!M264</f>
        <v>Hasanah</v>
      </c>
      <c r="N219" s="16" t="str">
        <f ca="1">Sheet1!N264</f>
        <v>18 Tahun, 2 Bulan, 0 Hari</v>
      </c>
      <c r="O219" s="16"/>
      <c r="P219" s="16"/>
    </row>
    <row r="220" spans="1:16" hidden="1" x14ac:dyDescent="0.25">
      <c r="A220" s="13">
        <f>Sheet1!A266</f>
        <v>265</v>
      </c>
      <c r="B220" s="14">
        <v>18</v>
      </c>
      <c r="C220" s="16">
        <f>Sheet1!C266</f>
        <v>0</v>
      </c>
      <c r="D220" s="14" t="str">
        <f>Sheet1!D266</f>
        <v>2C</v>
      </c>
      <c r="E220" s="14" t="str">
        <f>Sheet1!E266</f>
        <v>Ulya</v>
      </c>
      <c r="F220" s="16">
        <f>Sheet1!F266</f>
        <v>1559</v>
      </c>
      <c r="G220" s="16" t="str">
        <f>Sheet1!G266</f>
        <v>Miftahus Surur</v>
      </c>
      <c r="H220" s="15" t="str">
        <f>Sheet1!H266</f>
        <v>Bondowoso</v>
      </c>
      <c r="I220" s="17" t="str">
        <f>Sheet1!I266</f>
        <v>27 Desember 2005</v>
      </c>
      <c r="J220" s="14" t="str">
        <f>Sheet1!J266</f>
        <v>D 07</v>
      </c>
      <c r="K220" s="16" t="str">
        <f>Sheet1!K266</f>
        <v>Patemon, Rt 026/Rw 005, , Kec.Tlogosari, Kab.Bondowoso</v>
      </c>
      <c r="L220" s="16" t="str">
        <f>Sheet1!L266</f>
        <v>Muhalli</v>
      </c>
      <c r="M220" s="16" t="str">
        <f>Sheet1!M266</f>
        <v>Saadah</v>
      </c>
      <c r="N220" s="16" t="str">
        <f ca="1">Sheet1!N266</f>
        <v>18 Tahun, 11 Bulan, 24 Hari</v>
      </c>
      <c r="O220" s="16"/>
      <c r="P220" s="16"/>
    </row>
    <row r="221" spans="1:16" hidden="1" x14ac:dyDescent="0.25">
      <c r="A221" s="13">
        <f>Sheet1!A267</f>
        <v>266</v>
      </c>
      <c r="B221" s="14">
        <v>19</v>
      </c>
      <c r="C221" s="16" t="str">
        <f>Sheet1!C267</f>
        <v>2 SMA</v>
      </c>
      <c r="D221" s="14" t="str">
        <f>Sheet1!D267</f>
        <v>2C</v>
      </c>
      <c r="E221" s="14" t="str">
        <f>Sheet1!E267</f>
        <v>Wustha</v>
      </c>
      <c r="F221" s="16">
        <f>Sheet1!F267</f>
        <v>3274</v>
      </c>
      <c r="G221" s="16" t="str">
        <f>Sheet1!G267</f>
        <v>Mohammad Romadani</v>
      </c>
      <c r="H221" s="15" t="str">
        <f>Sheet1!H267</f>
        <v>Bondowoso</v>
      </c>
      <c r="I221" s="17">
        <f>Sheet1!I267</f>
        <v>39351</v>
      </c>
      <c r="J221" s="14" t="str">
        <f>Sheet1!J267</f>
        <v>D 07</v>
      </c>
      <c r="K221" s="16" t="str">
        <f>Sheet1!K267</f>
        <v>Dusun Silowongo 023/003 Kemirian Tamanan Bondowoso</v>
      </c>
      <c r="L221" s="16" t="str">
        <f>Sheet1!L267</f>
        <v>Suryadi</v>
      </c>
      <c r="M221" s="16" t="str">
        <f>Sheet1!M267</f>
        <v>Sakmina</v>
      </c>
      <c r="N221" s="16" t="str">
        <f ca="1">Sheet1!N267</f>
        <v>17 Tahun, 2 Bulan, 25 Hari</v>
      </c>
      <c r="O221" s="16"/>
      <c r="P221" s="16"/>
    </row>
    <row r="222" spans="1:16" hidden="1" x14ac:dyDescent="0.25">
      <c r="A222" s="13">
        <f>Sheet1!A268</f>
        <v>267</v>
      </c>
      <c r="B222" s="14">
        <v>20</v>
      </c>
      <c r="C222" s="16" t="str">
        <f>Sheet1!C268</f>
        <v>2 SMA</v>
      </c>
      <c r="D222" s="14" t="str">
        <f>Sheet1!D268</f>
        <v>2A</v>
      </c>
      <c r="E222" s="14" t="str">
        <f>Sheet1!E268</f>
        <v>Wustha</v>
      </c>
      <c r="F222" s="16">
        <f>Sheet1!F268</f>
        <v>3226</v>
      </c>
      <c r="G222" s="16" t="str">
        <f>Sheet1!G268</f>
        <v>Romi Rahmatullah</v>
      </c>
      <c r="H222" s="15" t="str">
        <f>Sheet1!H268</f>
        <v>Bondowoso</v>
      </c>
      <c r="I222" s="17">
        <f>Sheet1!I268</f>
        <v>39230</v>
      </c>
      <c r="J222" s="14" t="str">
        <f>Sheet1!J268</f>
        <v>D 07</v>
      </c>
      <c r="K222" s="16" t="str">
        <f>Sheet1!K268</f>
        <v>Krajan 004/001 Kalianyar Tamanan Bondowoso</v>
      </c>
      <c r="L222" s="16" t="str">
        <f>Sheet1!L268</f>
        <v>Abdul Aziz</v>
      </c>
      <c r="M222" s="16" t="str">
        <f>Sheet1!M268</f>
        <v>Zaenab</v>
      </c>
      <c r="N222" s="16" t="str">
        <f ca="1">Sheet1!N268</f>
        <v>17 Tahun, 6 Bulan, 23 Hari</v>
      </c>
      <c r="O222" s="16"/>
      <c r="P222" s="16"/>
    </row>
    <row r="223" spans="1:16" hidden="1" x14ac:dyDescent="0.25">
      <c r="A223" s="13">
        <f>Sheet1!A273</f>
        <v>272</v>
      </c>
      <c r="B223" s="14">
        <v>21</v>
      </c>
      <c r="C223" s="16">
        <f>Sheet1!C273</f>
        <v>0</v>
      </c>
      <c r="D223" s="14" t="str">
        <f>Sheet1!D273</f>
        <v>2A</v>
      </c>
      <c r="E223" s="14" t="str">
        <f>Sheet1!E273</f>
        <v>Ulya</v>
      </c>
      <c r="F223" s="16">
        <f>Sheet1!F273</f>
        <v>1517</v>
      </c>
      <c r="G223" s="16" t="str">
        <f>Sheet1!G273</f>
        <v>Abdul Wazar</v>
      </c>
      <c r="H223" s="15" t="str">
        <f>Sheet1!H273</f>
        <v>Bondowoso</v>
      </c>
      <c r="I223" s="17" t="str">
        <f>Sheet1!I273</f>
        <v>16 Mei 2005</v>
      </c>
      <c r="J223" s="14" t="str">
        <f>Sheet1!J273</f>
        <v>D 09</v>
      </c>
      <c r="K223" s="16" t="str">
        <f>Sheet1!K273</f>
        <v>Desa Sukodono, Rt010/Rw 004, , Kec.Pujer, Kab. Bondowoso</v>
      </c>
      <c r="L223" s="16" t="str">
        <f>Sheet1!L273</f>
        <v>Moh Farid</v>
      </c>
      <c r="M223" s="16">
        <f>Sheet1!M273</f>
        <v>0</v>
      </c>
      <c r="N223" s="16" t="str">
        <f ca="1">Sheet1!N273</f>
        <v>19 Tahun, 7 Bulan, 5 Hari</v>
      </c>
      <c r="O223" s="16"/>
      <c r="P223" s="16"/>
    </row>
    <row r="224" spans="1:16" hidden="1" x14ac:dyDescent="0.25">
      <c r="A224" s="13">
        <f>Sheet1!A275</f>
        <v>274</v>
      </c>
      <c r="B224" s="14">
        <v>22</v>
      </c>
      <c r="C224" s="16">
        <f>Sheet1!C275</f>
        <v>0</v>
      </c>
      <c r="D224" s="14">
        <f>Sheet1!D275</f>
        <v>1</v>
      </c>
      <c r="E224" s="14" t="str">
        <f>Sheet1!E275</f>
        <v>Ulya</v>
      </c>
      <c r="F224" s="16">
        <f>Sheet1!F275</f>
        <v>2432</v>
      </c>
      <c r="G224" s="16" t="str">
        <f>Sheet1!G275</f>
        <v>Wildanis Syifa ZA.</v>
      </c>
      <c r="H224" s="15" t="str">
        <f>Sheet1!H275</f>
        <v>Bondowoso</v>
      </c>
      <c r="I224" s="17" t="str">
        <f>Sheet1!I275</f>
        <v>05 Juni 2006</v>
      </c>
      <c r="J224" s="14" t="str">
        <f>Sheet1!J275</f>
        <v>D 10</v>
      </c>
      <c r="K224" s="16" t="str">
        <f>Sheet1!K275</f>
        <v>tegal pasir-jambesari DS-bondowoso</v>
      </c>
      <c r="L224" s="16" t="str">
        <f>Sheet1!L275</f>
        <v>Budianto</v>
      </c>
      <c r="M224" s="16" t="str">
        <f>Sheet1!M275</f>
        <v>Sasmiwati</v>
      </c>
      <c r="N224" s="16" t="str">
        <f ca="1">Sheet1!N275</f>
        <v>18 Tahun, 6 Bulan, 16 Hari</v>
      </c>
      <c r="O224" s="16"/>
      <c r="P224" s="16"/>
    </row>
    <row r="225" spans="1:16" hidden="1" x14ac:dyDescent="0.25">
      <c r="A225" s="13">
        <f>Sheet1!A276</f>
        <v>275</v>
      </c>
      <c r="B225" s="14">
        <v>23</v>
      </c>
      <c r="C225" s="16">
        <f>Sheet1!C276</f>
        <v>0</v>
      </c>
      <c r="D225" s="14" t="str">
        <f>Sheet1!D276</f>
        <v>2A</v>
      </c>
      <c r="E225" s="14" t="str">
        <f>Sheet1!E276</f>
        <v>Ulya</v>
      </c>
      <c r="F225" s="16">
        <f>Sheet1!F276</f>
        <v>1515</v>
      </c>
      <c r="G225" s="16" t="str">
        <f>Sheet1!G276</f>
        <v>Abdul Kholik</v>
      </c>
      <c r="H225" s="15" t="str">
        <f>Sheet1!H276</f>
        <v>Bondowoso</v>
      </c>
      <c r="I225" s="17" t="str">
        <f>Sheet1!I276</f>
        <v>09 September2004</v>
      </c>
      <c r="J225" s="14" t="str">
        <f>Sheet1!J276</f>
        <v>D 10</v>
      </c>
      <c r="K225" s="16" t="str">
        <f>Sheet1!K276</f>
        <v>Sukodono, 005/003, , Kec.Pujer, Kab.Bondowoso</v>
      </c>
      <c r="L225" s="16" t="str">
        <f>Sheet1!L276</f>
        <v>Sunarto</v>
      </c>
      <c r="M225" s="16">
        <f>Sheet1!M276</f>
        <v>0</v>
      </c>
      <c r="N225" s="16" t="str">
        <f ca="1">Sheet1!N276</f>
        <v>20 Tahun, 3 Bulan, 12 Hari</v>
      </c>
      <c r="O225" s="16"/>
      <c r="P225" s="16"/>
    </row>
    <row r="226" spans="1:16" hidden="1" x14ac:dyDescent="0.25">
      <c r="A226" s="13">
        <f>Sheet1!A277</f>
        <v>276</v>
      </c>
      <c r="B226" s="14">
        <v>24</v>
      </c>
      <c r="C226" s="16">
        <f>Sheet1!C277</f>
        <v>0</v>
      </c>
      <c r="D226" s="14" t="str">
        <f>Sheet1!D277</f>
        <v>2C</v>
      </c>
      <c r="E226" s="14" t="str">
        <f>Sheet1!E277</f>
        <v>Ulya</v>
      </c>
      <c r="F226" s="16">
        <f>Sheet1!F277</f>
        <v>1519</v>
      </c>
      <c r="G226" s="16" t="str">
        <f>Sheet1!G277</f>
        <v>Ahmad Agung Ramadani</v>
      </c>
      <c r="H226" s="15" t="str">
        <f>Sheet1!H277</f>
        <v>Jember</v>
      </c>
      <c r="I226" s="17" t="str">
        <f>Sheet1!I277</f>
        <v>14 November 2004</v>
      </c>
      <c r="J226" s="14" t="str">
        <f>Sheet1!J277</f>
        <v>D 10</v>
      </c>
      <c r="K226" s="16" t="str">
        <f>Sheet1!K277</f>
        <v>Dusun Andongsari, Rt 001/ Rw 010, Desa Tugosari, Kec. Bangsalsari, Kab.Jember</v>
      </c>
      <c r="L226" s="16" t="str">
        <f>Sheet1!L277</f>
        <v>BAIDAWI</v>
      </c>
      <c r="M226" s="16" t="str">
        <f>Sheet1!M277</f>
        <v>MUNAWWAROH</v>
      </c>
      <c r="N226" s="16" t="str">
        <f ca="1">Sheet1!N277</f>
        <v>20 Tahun, 1 Bulan, 7 Hari</v>
      </c>
      <c r="O226" s="16"/>
      <c r="P226" s="16"/>
    </row>
    <row r="227" spans="1:16" hidden="1" x14ac:dyDescent="0.25">
      <c r="A227" s="13">
        <f>Sheet1!A278</f>
        <v>277</v>
      </c>
      <c r="B227" s="14">
        <v>25</v>
      </c>
      <c r="C227" s="16">
        <f>Sheet1!C278</f>
        <v>0</v>
      </c>
      <c r="D227" s="14" t="str">
        <f>Sheet1!D278</f>
        <v>3B</v>
      </c>
      <c r="E227" s="14" t="str">
        <f>Sheet1!E278</f>
        <v>Wustha</v>
      </c>
      <c r="F227" s="16">
        <f>Sheet1!F278</f>
        <v>2891</v>
      </c>
      <c r="G227" s="16" t="str">
        <f>Sheet1!G278</f>
        <v>Muhammad Rizal Kurnia</v>
      </c>
      <c r="H227" s="15" t="str">
        <f>Sheet1!H278</f>
        <v>Bondowoso</v>
      </c>
      <c r="I227" s="17">
        <f>Sheet1!I278</f>
        <v>39093</v>
      </c>
      <c r="J227" s="14" t="str">
        <f>Sheet1!J278</f>
        <v>D 10</v>
      </c>
      <c r="K227" s="16" t="str">
        <f>Sheet1!K278</f>
        <v>Brambang Darussalam-Tlogosari-Bondowoso</v>
      </c>
      <c r="L227" s="16" t="str">
        <f>Sheet1!L278</f>
        <v>Masdar</v>
      </c>
      <c r="M227" s="16" t="str">
        <f>Sheet1!M278</f>
        <v>Hasfariyah</v>
      </c>
      <c r="N227" s="16" t="str">
        <f ca="1">Sheet1!N278</f>
        <v>17 Tahun, 11 Bulan, 10 Hari</v>
      </c>
      <c r="O227" s="16"/>
      <c r="P227" s="16"/>
    </row>
    <row r="228" spans="1:16" hidden="1" x14ac:dyDescent="0.25">
      <c r="A228" s="13">
        <f>Sheet1!A280</f>
        <v>279</v>
      </c>
      <c r="B228" s="14">
        <v>26</v>
      </c>
      <c r="C228" s="16">
        <f>Sheet1!C280</f>
        <v>0</v>
      </c>
      <c r="D228" s="14" t="str">
        <f>Sheet1!D280</f>
        <v>2C</v>
      </c>
      <c r="E228" s="14" t="str">
        <f>Sheet1!E280</f>
        <v>Ulya</v>
      </c>
      <c r="F228" s="16">
        <f>Sheet1!F280</f>
        <v>1558</v>
      </c>
      <c r="G228" s="16" t="str">
        <f>Sheet1!G280</f>
        <v xml:space="preserve">Masrur </v>
      </c>
      <c r="H228" s="15" t="str">
        <f>Sheet1!H280</f>
        <v>Bondowoso</v>
      </c>
      <c r="I228" s="17">
        <f>Sheet1!I280</f>
        <v>38018</v>
      </c>
      <c r="J228" s="14" t="str">
        <f>Sheet1!J280</f>
        <v>D 11</v>
      </c>
      <c r="K228" s="16" t="str">
        <f>Sheet1!K280</f>
        <v xml:space="preserve">Desa Kajar, Rt 004/ Rw 002, Kec.Tenggarang, Kab.Bondowoso, </v>
      </c>
      <c r="L228" s="16" t="str">
        <f>Sheet1!L280</f>
        <v>Abdul Manab</v>
      </c>
      <c r="M228" s="16" t="str">
        <f>Sheet1!M280</f>
        <v>Munipa</v>
      </c>
      <c r="N228" s="16" t="str">
        <f ca="1">Sheet1!N280</f>
        <v>20 Tahun, 10 Bulan, 20 Hari</v>
      </c>
      <c r="O228" s="16"/>
      <c r="P228" s="16"/>
    </row>
    <row r="229" spans="1:16" hidden="1" x14ac:dyDescent="0.25">
      <c r="A229" s="13">
        <f>Sheet1!A281</f>
        <v>280</v>
      </c>
      <c r="B229" s="14">
        <v>27</v>
      </c>
      <c r="C229" s="16">
        <f>Sheet1!C281</f>
        <v>0</v>
      </c>
      <c r="D229" s="14" t="str">
        <f>Sheet1!D281</f>
        <v>2B</v>
      </c>
      <c r="E229" s="14" t="str">
        <f>Sheet1!E281</f>
        <v>Ulya</v>
      </c>
      <c r="F229" s="16">
        <f>Sheet1!F281</f>
        <v>1529</v>
      </c>
      <c r="G229" s="16" t="str">
        <f>Sheet1!G281</f>
        <v>Ainul fikri</v>
      </c>
      <c r="H229" s="15" t="str">
        <f>Sheet1!H281</f>
        <v>Bondowoso</v>
      </c>
      <c r="I229" s="17" t="str">
        <f>Sheet1!I281</f>
        <v>08 Januari 2006</v>
      </c>
      <c r="J229" s="14" t="str">
        <f>Sheet1!J281</f>
        <v>D 12</v>
      </c>
      <c r="K229" s="16" t="str">
        <f>Sheet1!K281</f>
        <v>Desa Kesemek, Rt 014/Rw 007, , Kec .Tenggarang, Kab. Bondowoso</v>
      </c>
      <c r="L229" s="16" t="str">
        <f>Sheet1!L281</f>
        <v>asmuni</v>
      </c>
      <c r="M229" s="16" t="str">
        <f>Sheet1!M281</f>
        <v>fitruyah</v>
      </c>
      <c r="N229" s="16" t="str">
        <f ca="1">Sheet1!N281</f>
        <v>18 Tahun, 11 Bulan, 13 Hari</v>
      </c>
      <c r="O229" s="16"/>
      <c r="P229" s="16"/>
    </row>
    <row r="230" spans="1:16" hidden="1" x14ac:dyDescent="0.25">
      <c r="A230" s="13">
        <f>Sheet1!A282</f>
        <v>281</v>
      </c>
      <c r="B230" s="14">
        <v>28</v>
      </c>
      <c r="C230" s="16">
        <f>Sheet1!C282</f>
        <v>0</v>
      </c>
      <c r="D230" s="14">
        <f>Sheet1!D282</f>
        <v>1</v>
      </c>
      <c r="E230" s="14" t="str">
        <f>Sheet1!E282</f>
        <v>Ulya</v>
      </c>
      <c r="F230" s="16">
        <f>Sheet1!F282</f>
        <v>2543</v>
      </c>
      <c r="G230" s="16" t="str">
        <f>Sheet1!G282</f>
        <v>Fadilah Widad</v>
      </c>
      <c r="H230" s="15" t="str">
        <f>Sheet1!H282</f>
        <v>Bondowoso</v>
      </c>
      <c r="I230" s="17" t="str">
        <f>Sheet1!I282</f>
        <v>30 Desember 2005</v>
      </c>
      <c r="J230" s="14" t="str">
        <f>Sheet1!J282</f>
        <v>D 12</v>
      </c>
      <c r="K230" s="16" t="str">
        <f>Sheet1!K282</f>
        <v>Alassumur Pujer Bondowoso</v>
      </c>
      <c r="L230" s="16" t="str">
        <f>Sheet1!L282</f>
        <v>Emhadi</v>
      </c>
      <c r="M230" s="16" t="str">
        <f>Sheet1!M282</f>
        <v>Dewi Siti Aisah</v>
      </c>
      <c r="N230" s="16" t="str">
        <f ca="1">Sheet1!N282</f>
        <v>18 Tahun, 11 Bulan, 21 Hari</v>
      </c>
      <c r="O230" s="16"/>
      <c r="P230" s="16"/>
    </row>
    <row r="231" spans="1:16" hidden="1" x14ac:dyDescent="0.25">
      <c r="A231" s="13">
        <f>Sheet1!A283</f>
        <v>282</v>
      </c>
      <c r="B231" s="14">
        <v>29</v>
      </c>
      <c r="C231" s="16">
        <f>Sheet1!C283</f>
        <v>0</v>
      </c>
      <c r="D231" s="14">
        <f>Sheet1!D283</f>
        <v>1</v>
      </c>
      <c r="E231" s="14" t="str">
        <f>Sheet1!E283</f>
        <v>Ulya</v>
      </c>
      <c r="F231" s="16">
        <f>Sheet1!F283</f>
        <v>2897</v>
      </c>
      <c r="G231" s="16" t="str">
        <f>Sheet1!G283</f>
        <v>Abd. Wafi</v>
      </c>
      <c r="H231" s="15" t="str">
        <f>Sheet1!H283</f>
        <v>Bondowoso</v>
      </c>
      <c r="I231" s="17">
        <f>Sheet1!I283</f>
        <v>38484</v>
      </c>
      <c r="J231" s="14" t="str">
        <f>Sheet1!J283</f>
        <v>D 12</v>
      </c>
      <c r="K231" s="16" t="str">
        <f>Sheet1!K283</f>
        <v>Tengginah-Sumber Jeruk-jambesari ds-bondowoso</v>
      </c>
      <c r="L231" s="16" t="str">
        <f>Sheet1!L283</f>
        <v>Wahyu Aries Suyoko</v>
      </c>
      <c r="M231" s="16">
        <f>Sheet1!M283</f>
        <v>0</v>
      </c>
      <c r="N231" s="16" t="str">
        <f ca="1">Sheet1!N283</f>
        <v>19 Tahun, 7 Bulan, 9 Hari</v>
      </c>
      <c r="O231" s="16"/>
      <c r="P231" s="16"/>
    </row>
    <row r="232" spans="1:16" hidden="1" x14ac:dyDescent="0.25">
      <c r="A232" s="13">
        <f>Sheet1!A284</f>
        <v>283</v>
      </c>
      <c r="B232" s="14">
        <v>30</v>
      </c>
      <c r="C232" s="16">
        <f>Sheet1!C284</f>
        <v>0</v>
      </c>
      <c r="D232" s="14">
        <f>Sheet1!D284</f>
        <v>1</v>
      </c>
      <c r="E232" s="14" t="str">
        <f>Sheet1!E284</f>
        <v>Ulya</v>
      </c>
      <c r="F232" s="16">
        <f>Sheet1!F284</f>
        <v>2898</v>
      </c>
      <c r="G232" s="16" t="str">
        <f>Sheet1!G284</f>
        <v>Achmad Ilyas Putra Wardhana</v>
      </c>
      <c r="H232" s="15" t="str">
        <f>Sheet1!H284</f>
        <v>Bondowoso</v>
      </c>
      <c r="I232" s="17">
        <f>Sheet1!I284</f>
        <v>37818</v>
      </c>
      <c r="J232" s="14" t="str">
        <f>Sheet1!J284</f>
        <v>D 12</v>
      </c>
      <c r="K232" s="16" t="str">
        <f>Sheet1!K284</f>
        <v>Sumberkemuning-Tamanan-Bondowoso</v>
      </c>
      <c r="L232" s="16" t="str">
        <f>Sheet1!L284</f>
        <v>Machfidz Ali Murtadlo</v>
      </c>
      <c r="M232" s="16">
        <f>Sheet1!M284</f>
        <v>0</v>
      </c>
      <c r="N232" s="16" t="str">
        <f ca="1">Sheet1!N284</f>
        <v>21 Tahun, 5 Bulan, 5 Hari</v>
      </c>
      <c r="O232" s="16"/>
      <c r="P232" s="16"/>
    </row>
    <row r="233" spans="1:16" hidden="1" x14ac:dyDescent="0.25">
      <c r="A233" s="13">
        <f>Sheet1!A286</f>
        <v>285</v>
      </c>
      <c r="B233" s="14">
        <v>2</v>
      </c>
      <c r="C233" s="16">
        <f>Sheet1!C286</f>
        <v>0</v>
      </c>
      <c r="D233" s="14" t="str">
        <f>Sheet1!D286</f>
        <v>2A</v>
      </c>
      <c r="E233" s="14" t="str">
        <f>Sheet1!E286</f>
        <v>Ulya</v>
      </c>
      <c r="F233" s="16">
        <f>Sheet1!F286</f>
        <v>1525</v>
      </c>
      <c r="G233" s="16" t="str">
        <f>Sheet1!G286</f>
        <v>Ahmad Rofiki</v>
      </c>
      <c r="H233" s="15" t="str">
        <f>Sheet1!H286</f>
        <v>Bondowoso</v>
      </c>
      <c r="I233" s="17">
        <f>Sheet1!I286</f>
        <v>38458</v>
      </c>
      <c r="J233" s="14" t="str">
        <f>Sheet1!J286</f>
        <v>E</v>
      </c>
      <c r="K233" s="16" t="str">
        <f>Sheet1!K286</f>
        <v>Angsnah, , , Jambesari DS, Bondowoso</v>
      </c>
      <c r="L233" s="16" t="str">
        <f>Sheet1!L286</f>
        <v>Saiful Bahri</v>
      </c>
      <c r="M233" s="16" t="str">
        <f>Sheet1!M286</f>
        <v>Hayati</v>
      </c>
      <c r="N233" s="16" t="str">
        <f ca="1">Sheet1!N286</f>
        <v>19 Tahun, 8 Bulan, 5 Hari</v>
      </c>
      <c r="O233" s="16"/>
      <c r="P233" s="16"/>
    </row>
    <row r="234" spans="1:16" hidden="1" x14ac:dyDescent="0.25">
      <c r="A234" s="13">
        <f>Sheet1!A287</f>
        <v>286</v>
      </c>
      <c r="B234" s="14">
        <v>3</v>
      </c>
      <c r="C234" s="16" t="str">
        <f>Sheet1!C287</f>
        <v>2 SMA</v>
      </c>
      <c r="D234" s="14" t="str">
        <f>Sheet1!D287</f>
        <v>1C</v>
      </c>
      <c r="E234" s="14" t="str">
        <f>Sheet1!E287</f>
        <v>Wustha</v>
      </c>
      <c r="F234" s="16">
        <f>Sheet1!F287</f>
        <v>3687</v>
      </c>
      <c r="G234" s="16" t="str">
        <f>Sheet1!G287</f>
        <v>Moh.Fadil</v>
      </c>
      <c r="H234" s="15" t="str">
        <f>Sheet1!H287</f>
        <v>Bondowoso,</v>
      </c>
      <c r="I234" s="17" t="str">
        <f>Sheet1!I287</f>
        <v>15 februari 2007</v>
      </c>
      <c r="J234" s="14" t="str">
        <f>Sheet1!J287</f>
        <v>E 02</v>
      </c>
      <c r="K234" s="16" t="str">
        <f>Sheet1!K287</f>
        <v>ds.karang malang 010/002-tegal pasir-jambesari Darus sholah -Bondowoso</v>
      </c>
      <c r="L234" s="16" t="str">
        <f>Sheet1!L287</f>
        <v>Samsuri</v>
      </c>
      <c r="M234" s="16" t="str">
        <f>Sheet1!M287</f>
        <v>Satini</v>
      </c>
      <c r="N234" s="16" t="str">
        <f ca="1">Sheet1!N287</f>
        <v>17 Tahun, 10 Bulan, 6 Hari</v>
      </c>
      <c r="O234" s="16"/>
      <c r="P234" s="16"/>
    </row>
    <row r="235" spans="1:16" hidden="1" x14ac:dyDescent="0.25">
      <c r="A235" s="13">
        <f>Sheet1!A288</f>
        <v>287</v>
      </c>
      <c r="B235" s="14">
        <v>4</v>
      </c>
      <c r="C235" s="16">
        <f>Sheet1!C288</f>
        <v>0</v>
      </c>
      <c r="D235" s="14" t="str">
        <f>Sheet1!D288</f>
        <v>B</v>
      </c>
      <c r="E235" s="14" t="str">
        <f>Sheet1!E288</f>
        <v>Isti'dadiyah</v>
      </c>
      <c r="F235" s="16">
        <f>Sheet1!F288</f>
        <v>1430323</v>
      </c>
      <c r="G235" s="16" t="str">
        <f>Sheet1!G288</f>
        <v>Aidil Fitri</v>
      </c>
      <c r="H235" s="15" t="s">
        <v>14</v>
      </c>
      <c r="I235" s="17">
        <f>Sheet1!I288</f>
        <v>38318</v>
      </c>
      <c r="J235" s="14" t="str">
        <f>Sheet1!J288</f>
        <v>E 05</v>
      </c>
      <c r="K235" s="16" t="str">
        <f>Sheet1!K288</f>
        <v>Kidul Sawah Barat, Rt 32, Rw 7, Tamanan, Tamanan, Bondowoso</v>
      </c>
      <c r="L235" s="16" t="str">
        <f>Sheet1!L288</f>
        <v xml:space="preserve">Mumpa'i </v>
      </c>
      <c r="M235" s="16" t="str">
        <f>Sheet1!M288</f>
        <v>Tola'atun</v>
      </c>
      <c r="N235" s="16" t="str">
        <f ca="1">Sheet1!N288</f>
        <v>20 Tahun, 0 Bulan, 24 Hari</v>
      </c>
      <c r="O235" s="16"/>
      <c r="P235" s="16"/>
    </row>
    <row r="236" spans="1:16" hidden="1" x14ac:dyDescent="0.25">
      <c r="A236" s="13">
        <f>Sheet1!A289</f>
        <v>288</v>
      </c>
      <c r="B236" s="14">
        <v>5</v>
      </c>
      <c r="C236" s="16">
        <f>Sheet1!C289</f>
        <v>0</v>
      </c>
      <c r="D236" s="14" t="str">
        <f>Sheet1!D289</f>
        <v>3B</v>
      </c>
      <c r="E236" s="14" t="str">
        <f>Sheet1!E289</f>
        <v>Wustha</v>
      </c>
      <c r="F236" s="16">
        <f>Sheet1!F289</f>
        <v>3494</v>
      </c>
      <c r="G236" s="16" t="str">
        <f>Sheet1!G289</f>
        <v>Mohammad Miftahul Babil Yasar</v>
      </c>
      <c r="H236" s="15">
        <f>Sheet1!H289</f>
        <v>0</v>
      </c>
      <c r="I236" s="17">
        <f>Sheet1!I289</f>
        <v>43862</v>
      </c>
      <c r="J236" s="14" t="str">
        <f>Sheet1!J289</f>
        <v>E 05</v>
      </c>
      <c r="K236" s="16" t="str">
        <f>Sheet1!K289</f>
        <v>Sumber walin Pakisan -tlogosari -Bondowoso</v>
      </c>
      <c r="L236" s="16" t="str">
        <f>Sheet1!L289</f>
        <v>Bunadin</v>
      </c>
      <c r="M236" s="16" t="str">
        <f>Sheet1!M289</f>
        <v>Susilowsti</v>
      </c>
      <c r="N236" s="16" t="str">
        <f ca="1">Sheet1!N289</f>
        <v>4 Tahun, 10 Bulan, 20 Hari</v>
      </c>
      <c r="O236" s="16"/>
      <c r="P236" s="16"/>
    </row>
    <row r="237" spans="1:16" hidden="1" x14ac:dyDescent="0.25">
      <c r="A237" s="13">
        <f>Sheet1!A290</f>
        <v>289</v>
      </c>
      <c r="B237" s="14">
        <v>6</v>
      </c>
      <c r="C237" s="16" t="str">
        <f>Sheet1!C290</f>
        <v>1 SMA</v>
      </c>
      <c r="D237" s="14" t="str">
        <f>Sheet1!D290</f>
        <v>3A</v>
      </c>
      <c r="E237" s="14" t="str">
        <f>Sheet1!E290</f>
        <v>Wustha</v>
      </c>
      <c r="F237" s="16">
        <f>Sheet1!F290</f>
        <v>2801</v>
      </c>
      <c r="G237" s="16" t="str">
        <f>Sheet1!G290</f>
        <v>Nabil Ainur Ridho</v>
      </c>
      <c r="H237" s="15" t="str">
        <f>Sheet1!H290</f>
        <v>Bondowoso</v>
      </c>
      <c r="I237" s="17">
        <f>Sheet1!I290</f>
        <v>39367</v>
      </c>
      <c r="J237" s="14" t="str">
        <f>Sheet1!J290</f>
        <v>E 06</v>
      </c>
      <c r="K237" s="16" t="str">
        <f>Sheet1!K290</f>
        <v>Beddian-Jambesari DS-Bondowoso</v>
      </c>
      <c r="L237" s="16" t="str">
        <f>Sheet1!L290</f>
        <v>Ahmad Muzakki</v>
      </c>
      <c r="M237" s="16" t="str">
        <f>Sheet1!M290</f>
        <v>Lilis Zuhriyah</v>
      </c>
      <c r="N237" s="16" t="str">
        <f ca="1">Sheet1!N290</f>
        <v>17 Tahun, 2 Bulan, 9 Hari</v>
      </c>
      <c r="O237" s="16"/>
      <c r="P237" s="16"/>
    </row>
    <row r="238" spans="1:16" hidden="1" x14ac:dyDescent="0.25">
      <c r="A238" s="13">
        <f>Sheet1!A291</f>
        <v>290</v>
      </c>
      <c r="B238" s="14">
        <v>7</v>
      </c>
      <c r="C238" s="16">
        <f>Sheet1!C291</f>
        <v>0</v>
      </c>
      <c r="D238" s="14" t="str">
        <f>Sheet1!D291</f>
        <v>3B</v>
      </c>
      <c r="E238" s="14" t="str">
        <f>Sheet1!E291</f>
        <v>Wustha</v>
      </c>
      <c r="F238" s="16">
        <f>Sheet1!F291</f>
        <v>2775</v>
      </c>
      <c r="G238" s="16" t="str">
        <f>Sheet1!G291</f>
        <v>Muhammad Romadani</v>
      </c>
      <c r="H238" s="15" t="str">
        <f>Sheet1!H291</f>
        <v>Bondowoso</v>
      </c>
      <c r="I238" s="17">
        <f>Sheet1!I291</f>
        <v>39342</v>
      </c>
      <c r="J238" s="14" t="str">
        <f>Sheet1!J291</f>
        <v>E 06</v>
      </c>
      <c r="K238" s="16" t="str">
        <f>Sheet1!K291</f>
        <v>Jambesari-Jambesari DS-Bondowoso</v>
      </c>
      <c r="L238" s="16" t="str">
        <f>Sheet1!L291</f>
        <v>Buyono</v>
      </c>
      <c r="M238" s="16" t="str">
        <f>Sheet1!M291</f>
        <v>Siti Rosida</v>
      </c>
      <c r="N238" s="16" t="str">
        <f ca="1">Sheet1!N291</f>
        <v>17 Tahun, 3 Bulan, 4 Hari</v>
      </c>
      <c r="O238" s="16"/>
      <c r="P238" s="16"/>
    </row>
    <row r="239" spans="1:16" hidden="1" x14ac:dyDescent="0.25">
      <c r="A239" s="13">
        <f>Sheet1!A293</f>
        <v>292</v>
      </c>
      <c r="B239" s="14">
        <v>8</v>
      </c>
      <c r="C239" s="16">
        <f>Sheet1!C293</f>
        <v>0</v>
      </c>
      <c r="D239" s="14" t="str">
        <f>Sheet1!D293</f>
        <v>B</v>
      </c>
      <c r="E239" s="14" t="str">
        <f>Sheet1!E293</f>
        <v>Isti'dadiyah</v>
      </c>
      <c r="F239" s="16">
        <f>Sheet1!F293</f>
        <v>1440061</v>
      </c>
      <c r="G239" s="16" t="str">
        <f>Sheet1!G293</f>
        <v>Hakikotul Wahdani</v>
      </c>
      <c r="H239" s="15" t="str">
        <f>Sheet1!H293</f>
        <v>Bondowoso</v>
      </c>
      <c r="I239" s="17">
        <f>Sheet1!I293</f>
        <v>39377.416666666664</v>
      </c>
      <c r="J239" s="14" t="str">
        <f>Sheet1!J293</f>
        <v>E 08</v>
      </c>
      <c r="K239" s="16" t="str">
        <f>Sheet1!K293</f>
        <v>Wonosari, Rt 6, Rw 2, Wonosari, Grujugan, Bondowoso</v>
      </c>
      <c r="L239" s="16" t="str">
        <f>Sheet1!L293</f>
        <v>Buhari</v>
      </c>
      <c r="M239" s="16" t="str">
        <f>Sheet1!M293</f>
        <v>Turiyatul Jana</v>
      </c>
      <c r="N239" s="16" t="str">
        <f ca="1">Sheet1!N293</f>
        <v>17 Tahun, 1 Bulan, 29 Hari</v>
      </c>
      <c r="O239" s="16"/>
      <c r="P239" s="16"/>
    </row>
    <row r="240" spans="1:16" hidden="1" x14ac:dyDescent="0.25">
      <c r="A240" s="13">
        <f>Sheet1!A294</f>
        <v>293</v>
      </c>
      <c r="B240" s="14">
        <v>9</v>
      </c>
      <c r="C240" s="16" t="str">
        <f>Sheet1!C294</f>
        <v>3 SMA</v>
      </c>
      <c r="D240" s="14" t="str">
        <f>Sheet1!D294</f>
        <v>2B</v>
      </c>
      <c r="E240" s="14" t="str">
        <f>Sheet1!E294</f>
        <v>Wustha</v>
      </c>
      <c r="F240" s="16">
        <f>Sheet1!F294</f>
        <v>3261</v>
      </c>
      <c r="G240" s="16" t="str">
        <f>Sheet1!G294</f>
        <v>Ahmad Baisuddin</v>
      </c>
      <c r="H240" s="15" t="str">
        <f>Sheet1!H294</f>
        <v>Bondowoso</v>
      </c>
      <c r="I240" s="17" t="str">
        <f>Sheet1!I294</f>
        <v>11 Oktober 2007</v>
      </c>
      <c r="J240" s="14" t="str">
        <f>Sheet1!J294</f>
        <v>E 08</v>
      </c>
      <c r="K240" s="16" t="str">
        <f>Sheet1!K294</f>
        <v>Taman 18/04 sukosari tamanan bondowoso</v>
      </c>
      <c r="L240" s="16" t="str">
        <f>Sheet1!L294</f>
        <v>Nawari</v>
      </c>
      <c r="M240" s="16" t="str">
        <f>Sheet1!M294</f>
        <v>Jemsia</v>
      </c>
      <c r="N240" s="16" t="str">
        <f ca="1">Sheet1!N294</f>
        <v>17 Tahun, 2 Bulan, 10 Hari</v>
      </c>
      <c r="O240" s="16"/>
      <c r="P240" s="16"/>
    </row>
    <row r="241" spans="1:16" hidden="1" x14ac:dyDescent="0.25">
      <c r="A241" s="13">
        <f>Sheet1!A295</f>
        <v>294</v>
      </c>
      <c r="B241" s="14">
        <v>10</v>
      </c>
      <c r="C241" s="16" t="str">
        <f>Sheet1!C295</f>
        <v>1 SMA</v>
      </c>
      <c r="D241" s="14" t="str">
        <f>Sheet1!D295</f>
        <v>3D</v>
      </c>
      <c r="E241" s="14" t="str">
        <f>Sheet1!E295</f>
        <v>Wustha</v>
      </c>
      <c r="F241" s="16">
        <f>Sheet1!F295</f>
        <v>2774</v>
      </c>
      <c r="G241" s="16" t="str">
        <f>Sheet1!G295</f>
        <v>Fathus Surur</v>
      </c>
      <c r="H241" s="15" t="str">
        <f>Sheet1!H295</f>
        <v>Bondowoso</v>
      </c>
      <c r="I241" s="17">
        <f>Sheet1!I295</f>
        <v>39221</v>
      </c>
      <c r="J241" s="14" t="str">
        <f>Sheet1!J295</f>
        <v>E 09</v>
      </c>
      <c r="K241" s="16" t="str">
        <f>Sheet1!K295</f>
        <v>Beddian-Jambesari-Jambesari DS-Bondowoso</v>
      </c>
      <c r="L241" s="16" t="str">
        <f>Sheet1!L295</f>
        <v>Buhari</v>
      </c>
      <c r="M241" s="16" t="str">
        <f>Sheet1!M295</f>
        <v>Kiptiyah</v>
      </c>
      <c r="N241" s="16" t="str">
        <f ca="1">Sheet1!N295</f>
        <v>17 Tahun, 7 Bulan, 2 Hari</v>
      </c>
      <c r="O241" s="16"/>
      <c r="P241" s="16"/>
    </row>
    <row r="242" spans="1:16" ht="20.100000000000001" customHeight="1" x14ac:dyDescent="0.25">
      <c r="A242" s="13">
        <f>Sheet1!A297</f>
        <v>296</v>
      </c>
      <c r="B242" s="14">
        <v>2</v>
      </c>
      <c r="C242" s="16">
        <f>Sheet1!C297</f>
        <v>0</v>
      </c>
      <c r="D242" s="14" t="str">
        <f>Sheet1!D297</f>
        <v>3A</v>
      </c>
      <c r="E242" s="14" t="str">
        <f>Sheet1!E297</f>
        <v>Ulya</v>
      </c>
      <c r="F242" s="16">
        <f>Sheet1!F297</f>
        <v>1383</v>
      </c>
      <c r="G242" s="16" t="str">
        <f>Sheet1!G297</f>
        <v>Mohammad Belal</v>
      </c>
      <c r="H242" s="15" t="str">
        <f>Sheet1!H297</f>
        <v>Bondowoso</v>
      </c>
      <c r="I242" s="17" t="str">
        <f>Sheet1!I297</f>
        <v>16 Januari 2007</v>
      </c>
      <c r="J242" s="14" t="str">
        <f>Sheet1!J297</f>
        <v>M</v>
      </c>
      <c r="K242" s="16" t="str">
        <f>Sheet1!K297</f>
        <v>Desa Brambang Darus Salam Rt 011/Rw 005 Kec Tlogosari Kab. Bondowoso</v>
      </c>
      <c r="L242" s="16" t="str">
        <f>Sheet1!L297</f>
        <v>Abdus Salam</v>
      </c>
      <c r="M242" s="16" t="str">
        <f>Sheet1!M297</f>
        <v>Tumiyah</v>
      </c>
      <c r="N242" s="16" t="str">
        <f ca="1">Sheet1!N297</f>
        <v>17 Tahun, 11 Bulan, 5 Hari</v>
      </c>
      <c r="O242" s="16"/>
      <c r="P242" s="16"/>
    </row>
    <row r="243" spans="1:16" ht="20.100000000000001" customHeight="1" x14ac:dyDescent="0.25">
      <c r="A243" s="13">
        <f>Sheet1!A298</f>
        <v>297</v>
      </c>
      <c r="B243" s="14">
        <v>3</v>
      </c>
      <c r="C243" s="16">
        <f>Sheet1!C298</f>
        <v>0</v>
      </c>
      <c r="D243" s="14" t="str">
        <f>Sheet1!D298</f>
        <v>3A</v>
      </c>
      <c r="E243" s="14" t="str">
        <f>Sheet1!E298</f>
        <v>Ulya</v>
      </c>
      <c r="F243" s="16">
        <f>Sheet1!F298</f>
        <v>1416</v>
      </c>
      <c r="G243" s="16" t="str">
        <f>Sheet1!G298</f>
        <v>Muhammad Miftahul Rizal</v>
      </c>
      <c r="H243" s="15" t="str">
        <f>Sheet1!H298</f>
        <v>Bondowoso</v>
      </c>
      <c r="I243" s="17" t="str">
        <f>Sheet1!I298</f>
        <v>28 Agustus 2007</v>
      </c>
      <c r="J243" s="14" t="str">
        <f>Sheet1!J298</f>
        <v>M</v>
      </c>
      <c r="K243" s="16" t="str">
        <f>Sheet1!K298</f>
        <v>Desa Sukodono Rt.010 / Rw. 004 Pujer Bondowoso</v>
      </c>
      <c r="L243" s="16" t="str">
        <f>Sheet1!L298</f>
        <v>Hafada</v>
      </c>
      <c r="M243" s="16" t="str">
        <f>Sheet1!M298</f>
        <v>Hasanah</v>
      </c>
      <c r="N243" s="16" t="str">
        <f ca="1">Sheet1!N298</f>
        <v>17 Tahun, 3 Bulan, 23 Hari</v>
      </c>
      <c r="O243" s="16"/>
      <c r="P243" s="16"/>
    </row>
    <row r="244" spans="1:16" ht="20.100000000000001" customHeight="1" x14ac:dyDescent="0.25">
      <c r="A244" s="13">
        <f>Sheet1!A299</f>
        <v>298</v>
      </c>
      <c r="B244" s="14">
        <v>4</v>
      </c>
      <c r="C244" s="16">
        <f>Sheet1!C299</f>
        <v>0</v>
      </c>
      <c r="D244" s="14" t="str">
        <f>Sheet1!D299</f>
        <v>3A</v>
      </c>
      <c r="E244" s="14" t="str">
        <f>Sheet1!E299</f>
        <v>Ulya</v>
      </c>
      <c r="F244" s="16">
        <f>Sheet1!F299</f>
        <v>1397</v>
      </c>
      <c r="G244" s="16" t="str">
        <f>Sheet1!G299</f>
        <v>Ahmad Fauzi Baadillah</v>
      </c>
      <c r="H244" s="15" t="str">
        <f>Sheet1!H299</f>
        <v>Bondowoso</v>
      </c>
      <c r="I244" s="17" t="str">
        <f>Sheet1!I299</f>
        <v>08 januari 2006</v>
      </c>
      <c r="J244" s="14" t="str">
        <f>Sheet1!J299</f>
        <v>M</v>
      </c>
      <c r="K244" s="16" t="str">
        <f>Sheet1!K299</f>
        <v>Dusun Kalianyar Tengah Rt 009 /Rw 002 Kec. Tamanan Kab. Bondowoso</v>
      </c>
      <c r="L244" s="16" t="str">
        <f>Sheet1!L299</f>
        <v>Ahmad</v>
      </c>
      <c r="M244" s="16" t="str">
        <f>Sheet1!M299</f>
        <v>Sayuti</v>
      </c>
      <c r="N244" s="16" t="str">
        <f ca="1">Sheet1!N299</f>
        <v>18 Tahun, 11 Bulan, 13 Hari</v>
      </c>
      <c r="O244" s="16"/>
      <c r="P244" s="16"/>
    </row>
    <row r="245" spans="1:16" ht="20.100000000000001" customHeight="1" x14ac:dyDescent="0.25">
      <c r="A245" s="13">
        <f>Sheet1!A300</f>
        <v>299</v>
      </c>
      <c r="B245" s="14">
        <v>5</v>
      </c>
      <c r="C245" s="16">
        <f>Sheet1!C300</f>
        <v>0</v>
      </c>
      <c r="D245" s="14" t="str">
        <f>Sheet1!D300</f>
        <v>3A</v>
      </c>
      <c r="E245" s="14" t="str">
        <f>Sheet1!E300</f>
        <v>Ulya</v>
      </c>
      <c r="F245" s="16">
        <f>Sheet1!F300</f>
        <v>1390</v>
      </c>
      <c r="G245" s="16" t="str">
        <f>Sheet1!G300</f>
        <v>Muhammad Yanto</v>
      </c>
      <c r="H245" s="15" t="str">
        <f>Sheet1!H300</f>
        <v>Bondowoso</v>
      </c>
      <c r="I245" s="17" t="str">
        <f>Sheet1!I300</f>
        <v>02 Desember 2005</v>
      </c>
      <c r="J245" s="14" t="str">
        <f>Sheet1!J300</f>
        <v>M</v>
      </c>
      <c r="K245" s="16" t="str">
        <f>Sheet1!K300</f>
        <v>Dusun beddian Rt 031/Rw 007 Desa  jambesari Kec. Jambesari DS Kab. Bondowoso</v>
      </c>
      <c r="L245" s="16" t="str">
        <f>Sheet1!L300</f>
        <v>Djumayas</v>
      </c>
      <c r="M245" s="16" t="str">
        <f>Sheet1!M300</f>
        <v>Mulyani</v>
      </c>
      <c r="N245" s="16" t="str">
        <f ca="1">Sheet1!N300</f>
        <v>19 Tahun, 0 Bulan, 19 Hari</v>
      </c>
      <c r="O245" s="16"/>
      <c r="P245" s="16"/>
    </row>
    <row r="246" spans="1:16" ht="20.100000000000001" customHeight="1" x14ac:dyDescent="0.25">
      <c r="A246" s="13">
        <f>Sheet1!A301</f>
        <v>300</v>
      </c>
      <c r="B246" s="14">
        <v>6</v>
      </c>
      <c r="C246" s="16">
        <f>Sheet1!C301</f>
        <v>0</v>
      </c>
      <c r="D246" s="14" t="str">
        <f>Sheet1!D301</f>
        <v>3A</v>
      </c>
      <c r="E246" s="14" t="str">
        <f>Sheet1!E301</f>
        <v>Ulya</v>
      </c>
      <c r="F246" s="16">
        <f>Sheet1!F301</f>
        <v>1399</v>
      </c>
      <c r="G246" s="16" t="str">
        <f>Sheet1!G301</f>
        <v>Erfan Sabilil Muttaqin</v>
      </c>
      <c r="H246" s="15" t="str">
        <f>Sheet1!H301</f>
        <v>Bondowoso</v>
      </c>
      <c r="I246" s="17" t="str">
        <f>Sheet1!I301</f>
        <v>10 September 2006</v>
      </c>
      <c r="J246" s="14" t="str">
        <f>Sheet1!J301</f>
        <v>M</v>
      </c>
      <c r="K246" s="16" t="str">
        <f>Sheet1!K301</f>
        <v>Desa Sukodono Rt.010 / Rw. 004 Pujer Bondowoso</v>
      </c>
      <c r="L246" s="16" t="str">
        <f>Sheet1!L301</f>
        <v>Santoso</v>
      </c>
      <c r="M246" s="16" t="str">
        <f>Sheet1!M301</f>
        <v>Saoda</v>
      </c>
      <c r="N246" s="16" t="str">
        <f ca="1">Sheet1!N301</f>
        <v>18 Tahun, 3 Bulan, 11 Hari</v>
      </c>
      <c r="O246" s="16"/>
      <c r="P246" s="16"/>
    </row>
    <row r="247" spans="1:16" ht="20.100000000000001" customHeight="1" x14ac:dyDescent="0.25">
      <c r="A247" s="13">
        <f>Sheet1!A302</f>
        <v>301</v>
      </c>
      <c r="B247" s="14">
        <v>7</v>
      </c>
      <c r="C247" s="16">
        <f>Sheet1!C302</f>
        <v>0</v>
      </c>
      <c r="D247" s="14" t="str">
        <f>Sheet1!D302</f>
        <v>3A</v>
      </c>
      <c r="E247" s="14" t="str">
        <f>Sheet1!E302</f>
        <v>Ulya</v>
      </c>
      <c r="F247" s="16">
        <f>Sheet1!F302</f>
        <v>1387</v>
      </c>
      <c r="G247" s="16" t="str">
        <f>Sheet1!G302</f>
        <v xml:space="preserve">Muhammad Fajri Afandi </v>
      </c>
      <c r="H247" s="15" t="str">
        <f>Sheet1!H302</f>
        <v>Bondowoso</v>
      </c>
      <c r="I247" s="17" t="str">
        <f>Sheet1!I302</f>
        <v>29 Mei 2006</v>
      </c>
      <c r="J247" s="14" t="str">
        <f>Sheet1!J302</f>
        <v>M</v>
      </c>
      <c r="K247" s="16" t="str">
        <f>Sheet1!K302</f>
        <v>Patemon Rt 018/Rw 004 Patemon Kec. Tlogosari Kab. Bondowoso</v>
      </c>
      <c r="L247" s="16" t="str">
        <f>Sheet1!L302</f>
        <v>Samsul Arifin</v>
      </c>
      <c r="M247" s="16" t="str">
        <f>Sheet1!M302</f>
        <v>Fatimah</v>
      </c>
      <c r="N247" s="16" t="str">
        <f ca="1">Sheet1!N302</f>
        <v>18 Tahun, 6 Bulan, 22 Hari</v>
      </c>
      <c r="O247" s="16"/>
      <c r="P247" s="16"/>
    </row>
    <row r="248" spans="1:16" ht="20.100000000000001" customHeight="1" x14ac:dyDescent="0.25">
      <c r="A248" s="13">
        <f>Sheet1!A303</f>
        <v>302</v>
      </c>
      <c r="B248" s="14">
        <v>8</v>
      </c>
      <c r="C248" s="16">
        <f>Sheet1!C303</f>
        <v>0</v>
      </c>
      <c r="D248" s="14" t="str">
        <f>Sheet1!D303</f>
        <v>3A</v>
      </c>
      <c r="E248" s="14" t="str">
        <f>Sheet1!E303</f>
        <v>Ulya</v>
      </c>
      <c r="F248" s="16">
        <f>Sheet1!F303</f>
        <v>1413</v>
      </c>
      <c r="G248" s="16" t="str">
        <f>Sheet1!G303</f>
        <v>Muhammad Fikri Yasid</v>
      </c>
      <c r="H248" s="15" t="str">
        <f>Sheet1!H303</f>
        <v>Bondowoso</v>
      </c>
      <c r="I248" s="17" t="str">
        <f>Sheet1!I303</f>
        <v>22 Februari 2006</v>
      </c>
      <c r="J248" s="14" t="str">
        <f>Sheet1!J303</f>
        <v>M</v>
      </c>
      <c r="K248" s="16" t="str">
        <f>Sheet1!K303</f>
        <v>Desa kembang Rt 029/Rw 004 Kec. Tlogosari Kab. Bondowoso</v>
      </c>
      <c r="L248" s="16" t="str">
        <f>Sheet1!L303</f>
        <v>Suradi</v>
      </c>
      <c r="M248" s="16" t="str">
        <f>Sheet1!M303</f>
        <v>Ru'yati</v>
      </c>
      <c r="N248" s="16" t="str">
        <f ca="1">Sheet1!N303</f>
        <v>18 Tahun, 9 Bulan, 29 Hari</v>
      </c>
      <c r="O248" s="16"/>
      <c r="P248" s="16"/>
    </row>
    <row r="249" spans="1:16" ht="20.100000000000001" customHeight="1" x14ac:dyDescent="0.25">
      <c r="A249" s="13">
        <f>Sheet1!A304</f>
        <v>303</v>
      </c>
      <c r="B249" s="14">
        <v>9</v>
      </c>
      <c r="C249" s="16">
        <f>Sheet1!C304</f>
        <v>0</v>
      </c>
      <c r="D249" s="14" t="str">
        <f>Sheet1!D304</f>
        <v>3A</v>
      </c>
      <c r="E249" s="14" t="str">
        <f>Sheet1!E304</f>
        <v>Ulya</v>
      </c>
      <c r="F249" s="16">
        <f>Sheet1!F304</f>
        <v>1389</v>
      </c>
      <c r="G249" s="16" t="str">
        <f>Sheet1!G304</f>
        <v xml:space="preserve">Muhammad Ifan </v>
      </c>
      <c r="H249" s="15" t="str">
        <f>Sheet1!H304</f>
        <v>Bondowoso</v>
      </c>
      <c r="I249" s="17" t="str">
        <f>Sheet1!I304</f>
        <v>25 September 2005</v>
      </c>
      <c r="J249" s="14" t="str">
        <f>Sheet1!J304</f>
        <v>M</v>
      </c>
      <c r="K249" s="16" t="str">
        <f>Sheet1!K304</f>
        <v>Desa Tegal Mijin Rt 009/Rw 002 kec. Grujugan Kab. Bondowoso</v>
      </c>
      <c r="L249" s="16" t="str">
        <f>Sheet1!L304</f>
        <v>Nijas</v>
      </c>
      <c r="M249" s="16" t="str">
        <f>Sheet1!M304</f>
        <v>Esay</v>
      </c>
      <c r="N249" s="16" t="str">
        <f ca="1">Sheet1!N304</f>
        <v>19 Tahun, 2 Bulan, 26 Hari</v>
      </c>
      <c r="O249" s="16"/>
      <c r="P249" s="16"/>
    </row>
    <row r="250" spans="1:16" ht="20.100000000000001" customHeight="1" x14ac:dyDescent="0.25">
      <c r="A250" s="13">
        <f>Sheet1!A305</f>
        <v>304</v>
      </c>
      <c r="B250" s="14">
        <v>10</v>
      </c>
      <c r="C250" s="16">
        <f>Sheet1!C305</f>
        <v>0</v>
      </c>
      <c r="D250" s="14" t="str">
        <f>Sheet1!D305</f>
        <v>2A</v>
      </c>
      <c r="E250" s="14" t="str">
        <f>Sheet1!E305</f>
        <v>Ulya</v>
      </c>
      <c r="F250" s="16">
        <f>Sheet1!F305</f>
        <v>1523</v>
      </c>
      <c r="G250" s="16" t="str">
        <f>Sheet1!G305</f>
        <v>Ahmad Nurur Romadani</v>
      </c>
      <c r="H250" s="15" t="str">
        <f>Sheet1!H305</f>
        <v>Bondowoso</v>
      </c>
      <c r="I250" s="17" t="str">
        <f>Sheet1!I305</f>
        <v>19 Oktober 2005</v>
      </c>
      <c r="J250" s="14" t="str">
        <f>Sheet1!J305</f>
        <v>M</v>
      </c>
      <c r="K250" s="16" t="str">
        <f>Sheet1!K305</f>
        <v>Desa Jebung Kidul, Rt 010/Rw 002, , Kec.Pujer, Kab.Bondowoso</v>
      </c>
      <c r="L250" s="16" t="str">
        <f>Sheet1!L305</f>
        <v>Mustakim</v>
      </c>
      <c r="M250" s="16" t="str">
        <f>Sheet1!M305</f>
        <v>Suryati</v>
      </c>
      <c r="N250" s="16" t="str">
        <f ca="1">Sheet1!N305</f>
        <v>19 Tahun, 2 Bulan, 2 Hari</v>
      </c>
      <c r="O250" s="16"/>
      <c r="P250" s="16"/>
    </row>
    <row r="251" spans="1:16" ht="20.100000000000001" customHeight="1" x14ac:dyDescent="0.25">
      <c r="A251" s="13">
        <f>Sheet1!A306</f>
        <v>305</v>
      </c>
      <c r="B251" s="14">
        <v>11</v>
      </c>
      <c r="C251" s="16">
        <f>Sheet1!C306</f>
        <v>0</v>
      </c>
      <c r="D251" s="14" t="str">
        <f>Sheet1!D306</f>
        <v>3A</v>
      </c>
      <c r="E251" s="14" t="str">
        <f>Sheet1!E306</f>
        <v>Ulya</v>
      </c>
      <c r="F251" s="16">
        <f>Sheet1!F306</f>
        <v>1400</v>
      </c>
      <c r="G251" s="16" t="str">
        <f>Sheet1!G306</f>
        <v>Fajar Nurdiansyah</v>
      </c>
      <c r="H251" s="15" t="str">
        <f>Sheet1!H306</f>
        <v>Bondowoso</v>
      </c>
      <c r="I251" s="17" t="str">
        <f>Sheet1!I306</f>
        <v>16 Januari 2005</v>
      </c>
      <c r="J251" s="14" t="str">
        <f>Sheet1!J306</f>
        <v>M</v>
      </c>
      <c r="K251" s="16" t="str">
        <f>Sheet1!K306</f>
        <v>Desa Sumber Pandan Rt 010/Rw 004 Kec. grujugan Kab. bondowoso</v>
      </c>
      <c r="L251" s="16" t="str">
        <f>Sheet1!L306</f>
        <v>Cholil Asy'ari</v>
      </c>
      <c r="M251" s="16" t="str">
        <f>Sheet1!M306</f>
        <v>Luthfiyah</v>
      </c>
      <c r="N251" s="16" t="str">
        <f ca="1">Sheet1!N306</f>
        <v>19 Tahun, 11 Bulan, 5 Hari</v>
      </c>
      <c r="O251" s="16"/>
      <c r="P251" s="16"/>
    </row>
    <row r="252" spans="1:16" ht="20.100000000000001" customHeight="1" x14ac:dyDescent="0.25">
      <c r="A252" s="13">
        <f>Sheet1!A307</f>
        <v>306</v>
      </c>
      <c r="B252" s="14">
        <v>12</v>
      </c>
      <c r="C252" s="16">
        <f>Sheet1!C307</f>
        <v>0</v>
      </c>
      <c r="D252" s="14" t="str">
        <f>Sheet1!D307</f>
        <v>3A</v>
      </c>
      <c r="E252" s="14" t="str">
        <f>Sheet1!E307</f>
        <v>Ulya</v>
      </c>
      <c r="F252" s="16">
        <f>Sheet1!F307</f>
        <v>1395</v>
      </c>
      <c r="G252" s="16" t="str">
        <f>Sheet1!G307</f>
        <v>Umaidi</v>
      </c>
      <c r="H252" s="15" t="str">
        <f>Sheet1!H307</f>
        <v>Bondowoso</v>
      </c>
      <c r="I252" s="17" t="str">
        <f>Sheet1!I307</f>
        <v>05 Agustus 2005</v>
      </c>
      <c r="J252" s="14" t="str">
        <f>Sheet1!J307</f>
        <v>M</v>
      </c>
      <c r="K252" s="16" t="str">
        <f>Sheet1!K307</f>
        <v>Desa Maskuning Kulon Rt  017/Rw 004 Kec. Pujer Kab. Bondowoso</v>
      </c>
      <c r="L252" s="16" t="str">
        <f>Sheet1!L307</f>
        <v>Ariyono</v>
      </c>
      <c r="M252" s="16">
        <f>Sheet1!M307</f>
        <v>0</v>
      </c>
      <c r="N252" s="16" t="str">
        <f ca="1">Sheet1!N307</f>
        <v>19 Tahun, 4 Bulan, 16 Hari</v>
      </c>
      <c r="O252" s="16"/>
      <c r="P252" s="16"/>
    </row>
    <row r="253" spans="1:16" ht="20.100000000000001" customHeight="1" x14ac:dyDescent="0.25">
      <c r="A253" s="13">
        <f>Sheet1!A308</f>
        <v>307</v>
      </c>
      <c r="B253" s="14">
        <v>13</v>
      </c>
      <c r="C253" s="16">
        <f>Sheet1!C308</f>
        <v>0</v>
      </c>
      <c r="D253" s="14" t="str">
        <f>Sheet1!D308</f>
        <v>2C</v>
      </c>
      <c r="E253" s="14" t="str">
        <f>Sheet1!E308</f>
        <v>Ulya</v>
      </c>
      <c r="F253" s="16">
        <f>Sheet1!F308</f>
        <v>1619</v>
      </c>
      <c r="G253" s="16" t="str">
        <f>Sheet1!G308</f>
        <v>Zaenur Rofik</v>
      </c>
      <c r="H253" s="15" t="str">
        <f>Sheet1!H308</f>
        <v>Bondowoso</v>
      </c>
      <c r="I253" s="17" t="str">
        <f>Sheet1!I308</f>
        <v>22 Juli 2005</v>
      </c>
      <c r="J253" s="14" t="str">
        <f>Sheet1!J308</f>
        <v>M</v>
      </c>
      <c r="K253" s="16" t="str">
        <f>Sheet1!K308</f>
        <v>Patemon, Rt 019/Rw 004, , Kec.Tlogosari, Kab.Bondowoso</v>
      </c>
      <c r="L253" s="16" t="str">
        <f>Sheet1!L308</f>
        <v>Sumarjo</v>
      </c>
      <c r="M253" s="16" t="str">
        <f>Sheet1!M308</f>
        <v>Asyati</v>
      </c>
      <c r="N253" s="16" t="str">
        <f ca="1">Sheet1!N308</f>
        <v>19 Tahun, 4 Bulan, 29 Hari</v>
      </c>
      <c r="O253" s="16"/>
      <c r="P253" s="16"/>
    </row>
    <row r="254" spans="1:16" ht="20.100000000000001" customHeight="1" x14ac:dyDescent="0.25">
      <c r="A254" s="13">
        <f>Sheet1!A309</f>
        <v>308</v>
      </c>
      <c r="B254" s="14">
        <v>14</v>
      </c>
      <c r="C254" s="16">
        <f>Sheet1!C309</f>
        <v>0</v>
      </c>
      <c r="D254" s="14" t="str">
        <f>Sheet1!D309</f>
        <v>3A</v>
      </c>
      <c r="E254" s="14" t="str">
        <f>Sheet1!E309</f>
        <v>Ulya</v>
      </c>
      <c r="F254" s="16">
        <f>Sheet1!F309</f>
        <v>1415</v>
      </c>
      <c r="G254" s="16" t="str">
        <f>Sheet1!G309</f>
        <v>Muhammad Hasan</v>
      </c>
      <c r="H254" s="15" t="str">
        <f>Sheet1!H309</f>
        <v>Bondowoso</v>
      </c>
      <c r="I254" s="17" t="str">
        <f>Sheet1!I309</f>
        <v>27 Mei 2005</v>
      </c>
      <c r="J254" s="14" t="str">
        <f>Sheet1!J309</f>
        <v>M</v>
      </c>
      <c r="K254" s="16" t="str">
        <f>Sheet1!K309</f>
        <v>DesaTegal Mijin Rt 008/Rw 002 Kec. Grujugan Kab. Bondowoso</v>
      </c>
      <c r="L254" s="16" t="str">
        <f>Sheet1!L309</f>
        <v>Harijo</v>
      </c>
      <c r="M254" s="16" t="str">
        <f>Sheet1!M309</f>
        <v>Sitti Rohami</v>
      </c>
      <c r="N254" s="16" t="str">
        <f ca="1">Sheet1!N309</f>
        <v>19 Tahun, 6 Bulan, 24 Hari</v>
      </c>
      <c r="O254" s="16"/>
      <c r="P254" s="16"/>
    </row>
    <row r="255" spans="1:16" ht="20.100000000000001" customHeight="1" x14ac:dyDescent="0.25">
      <c r="A255" s="13">
        <f>Sheet1!A310</f>
        <v>309</v>
      </c>
      <c r="B255" s="14">
        <v>15</v>
      </c>
      <c r="C255" s="16">
        <f>Sheet1!C310</f>
        <v>0</v>
      </c>
      <c r="D255" s="14" t="str">
        <f>Sheet1!D310</f>
        <v>3A</v>
      </c>
      <c r="E255" s="14" t="str">
        <f>Sheet1!E310</f>
        <v>Ulya</v>
      </c>
      <c r="F255" s="16">
        <f>Sheet1!F310</f>
        <v>1384</v>
      </c>
      <c r="G255" s="16" t="str">
        <f>Sheet1!G310</f>
        <v xml:space="preserve">Muhammad Aldi Sulaiman </v>
      </c>
      <c r="H255" s="15" t="str">
        <f>Sheet1!H310</f>
        <v>Bondowoso</v>
      </c>
      <c r="I255" s="17" t="str">
        <f>Sheet1!I310</f>
        <v>17  Juni 2005</v>
      </c>
      <c r="J255" s="14" t="str">
        <f>Sheet1!J310</f>
        <v>M</v>
      </c>
      <c r="K255" s="16" t="str">
        <f>Sheet1!K310</f>
        <v>Dusun karang Timur Rt 017/ Rw 004 Desa Sumber Kemuning Kec. Tamanan Kab. Bondowoso</v>
      </c>
      <c r="L255" s="16" t="str">
        <f>Sheet1!L310</f>
        <v>Esik Saidi</v>
      </c>
      <c r="M255" s="16" t="str">
        <f>Sheet1!M310</f>
        <v>Hossaimah</v>
      </c>
      <c r="N255" s="16" t="str">
        <f ca="1">Sheet1!N310</f>
        <v>19 Tahun, 6 Bulan, 4 Hari</v>
      </c>
      <c r="O255" s="16"/>
      <c r="P255" s="16"/>
    </row>
    <row r="256" spans="1:16" ht="20.100000000000001" customHeight="1" x14ac:dyDescent="0.25">
      <c r="A256" s="13">
        <f>Sheet1!A311</f>
        <v>310</v>
      </c>
      <c r="B256" s="14">
        <v>16</v>
      </c>
      <c r="C256" s="16">
        <f>Sheet1!C311</f>
        <v>0</v>
      </c>
      <c r="D256" s="14" t="str">
        <f>Sheet1!D311</f>
        <v>3A</v>
      </c>
      <c r="E256" s="14" t="str">
        <f>Sheet1!E311</f>
        <v>Ulya</v>
      </c>
      <c r="F256" s="16">
        <f>Sheet1!F311</f>
        <v>1373</v>
      </c>
      <c r="G256" s="16" t="str">
        <f>Sheet1!G311</f>
        <v>Fadilurrohman</v>
      </c>
      <c r="H256" s="15" t="str">
        <f>Sheet1!H311</f>
        <v>Bondowoso</v>
      </c>
      <c r="I256" s="17" t="str">
        <f>Sheet1!I311</f>
        <v>03 Mei 2005</v>
      </c>
      <c r="J256" s="14" t="str">
        <f>Sheet1!J311</f>
        <v>M</v>
      </c>
      <c r="K256" s="16" t="str">
        <f>Sheet1!K311</f>
        <v>Dusun Angsanah Rt 034/ Rw 007 Jambesari Jambesari Darus Sholah Bondowoso</v>
      </c>
      <c r="L256" s="16" t="str">
        <f>Sheet1!L311</f>
        <v>Suherno</v>
      </c>
      <c r="M256" s="16" t="str">
        <f>Sheet1!M311</f>
        <v>Rukayah</v>
      </c>
      <c r="N256" s="16" t="str">
        <f ca="1">Sheet1!N311</f>
        <v>19 Tahun, 7 Bulan, 18 Hari</v>
      </c>
      <c r="O256" s="16"/>
      <c r="P256" s="16"/>
    </row>
    <row r="257" spans="1:16" ht="20.100000000000001" customHeight="1" x14ac:dyDescent="0.25">
      <c r="A257" s="13">
        <f>Sheet1!A312</f>
        <v>311</v>
      </c>
      <c r="B257" s="14">
        <v>17</v>
      </c>
      <c r="C257" s="16">
        <f>Sheet1!C312</f>
        <v>0</v>
      </c>
      <c r="D257" s="14" t="str">
        <f>Sheet1!D312</f>
        <v>3A</v>
      </c>
      <c r="E257" s="14" t="str">
        <f>Sheet1!E312</f>
        <v>Ulya</v>
      </c>
      <c r="F257" s="16">
        <f>Sheet1!F312</f>
        <v>1409</v>
      </c>
      <c r="G257" s="16" t="str">
        <f>Sheet1!G312</f>
        <v>Mochammad Makful Ghani</v>
      </c>
      <c r="H257" s="15" t="str">
        <f>Sheet1!H312</f>
        <v>Bondowoso</v>
      </c>
      <c r="I257" s="17" t="str">
        <f>Sheet1!I312</f>
        <v>05 April 2005</v>
      </c>
      <c r="J257" s="14" t="str">
        <f>Sheet1!J312</f>
        <v>M</v>
      </c>
      <c r="K257" s="16" t="str">
        <f>Sheet1!K312</f>
        <v>Desa trotosari Rt 012/Rw 007 Kec. Tlogosari Kab. Bondowoso</v>
      </c>
      <c r="L257" s="16" t="str">
        <f>Sheet1!L312</f>
        <v>Abdus Salam</v>
      </c>
      <c r="M257" s="16" t="str">
        <f>Sheet1!M312</f>
        <v>Sutriyani</v>
      </c>
      <c r="N257" s="16" t="str">
        <f ca="1">Sheet1!N312</f>
        <v>19 Tahun, 8 Bulan, 16 Hari</v>
      </c>
      <c r="O257" s="16"/>
      <c r="P257" s="16"/>
    </row>
    <row r="258" spans="1:16" ht="20.100000000000001" customHeight="1" x14ac:dyDescent="0.25">
      <c r="A258" s="13">
        <f>Sheet1!A313</f>
        <v>312</v>
      </c>
      <c r="B258" s="14">
        <v>18</v>
      </c>
      <c r="C258" s="16">
        <f>Sheet1!C313</f>
        <v>0</v>
      </c>
      <c r="D258" s="14" t="str">
        <f>Sheet1!D313</f>
        <v>3A</v>
      </c>
      <c r="E258" s="14" t="str">
        <f>Sheet1!E313</f>
        <v>Ulya</v>
      </c>
      <c r="F258" s="16">
        <f>Sheet1!F313</f>
        <v>1398</v>
      </c>
      <c r="G258" s="16" t="str">
        <f>Sheet1!G313</f>
        <v>Ahmad Kuzeyri</v>
      </c>
      <c r="H258" s="15" t="str">
        <f>Sheet1!H313</f>
        <v>Bondowoso</v>
      </c>
      <c r="I258" s="17" t="str">
        <f>Sheet1!I313</f>
        <v>13 Maret 2005</v>
      </c>
      <c r="J258" s="14" t="str">
        <f>Sheet1!J313</f>
        <v>M</v>
      </c>
      <c r="K258" s="16" t="str">
        <f>Sheet1!K313</f>
        <v>Desa Sukodono Pujer Bondowoso</v>
      </c>
      <c r="L258" s="16" t="str">
        <f>Sheet1!L313</f>
        <v>M. Holip</v>
      </c>
      <c r="M258" s="16" t="str">
        <f>Sheet1!M313</f>
        <v>Fadilah</v>
      </c>
      <c r="N258" s="16" t="str">
        <f ca="1">Sheet1!N313</f>
        <v>19 Tahun, 9 Bulan, 8 Hari</v>
      </c>
      <c r="O258" s="16"/>
      <c r="P258" s="16"/>
    </row>
    <row r="259" spans="1:16" ht="20.100000000000001" customHeight="1" x14ac:dyDescent="0.25">
      <c r="A259" s="13">
        <f>Sheet1!A314</f>
        <v>313</v>
      </c>
      <c r="B259" s="14">
        <v>19</v>
      </c>
      <c r="C259" s="16">
        <f>Sheet1!C314</f>
        <v>0</v>
      </c>
      <c r="D259" s="14" t="str">
        <f>Sheet1!D314</f>
        <v>3A</v>
      </c>
      <c r="E259" s="14" t="str">
        <f>Sheet1!E314</f>
        <v>Ulya</v>
      </c>
      <c r="F259" s="16">
        <f>Sheet1!F314</f>
        <v>1402</v>
      </c>
      <c r="G259" s="16" t="str">
        <f>Sheet1!G314</f>
        <v>Ifan Afandi</v>
      </c>
      <c r="H259" s="15" t="str">
        <f>Sheet1!H314</f>
        <v>Bondowoso</v>
      </c>
      <c r="I259" s="17" t="str">
        <f>Sheet1!I314</f>
        <v>07 Januari 2004</v>
      </c>
      <c r="J259" s="14" t="str">
        <f>Sheet1!J314</f>
        <v>M</v>
      </c>
      <c r="K259" s="16" t="str">
        <f>Sheet1!K314</f>
        <v>Tlogosari Rt 016/Rw 004 Kec.Tlogosari Kab.Bondowoso</v>
      </c>
      <c r="L259" s="16" t="str">
        <f>Sheet1!L314</f>
        <v>Rafik</v>
      </c>
      <c r="M259" s="16" t="str">
        <f>Sheet1!M314</f>
        <v>Rustiye</v>
      </c>
      <c r="N259" s="16" t="str">
        <f ca="1">Sheet1!N314</f>
        <v>20 Tahun, 11 Bulan, 14 Hari</v>
      </c>
      <c r="O259" s="16"/>
      <c r="P259" s="16"/>
    </row>
    <row r="260" spans="1:16" ht="20.100000000000001" customHeight="1" x14ac:dyDescent="0.25">
      <c r="A260" s="13">
        <f>Sheet1!A315</f>
        <v>314</v>
      </c>
      <c r="B260" s="14">
        <v>20</v>
      </c>
      <c r="C260" s="16">
        <f>Sheet1!C315</f>
        <v>0</v>
      </c>
      <c r="D260" s="14" t="str">
        <f>Sheet1!D315</f>
        <v>3A</v>
      </c>
      <c r="E260" s="14" t="str">
        <f>Sheet1!E315</f>
        <v>Ulya</v>
      </c>
      <c r="F260" s="16">
        <f>Sheet1!F315</f>
        <v>1418</v>
      </c>
      <c r="G260" s="16" t="str">
        <f>Sheet1!G315</f>
        <v>Muhammad Nuriyan</v>
      </c>
      <c r="H260" s="15" t="str">
        <f>Sheet1!H315</f>
        <v>Bondowoso</v>
      </c>
      <c r="I260" s="17" t="str">
        <f>Sheet1!I315</f>
        <v>04 September 2004</v>
      </c>
      <c r="J260" s="14" t="str">
        <f>Sheet1!J315</f>
        <v>M</v>
      </c>
      <c r="K260" s="16" t="str">
        <f>Sheet1!K315</f>
        <v>Dsn. Sukerejo Rt 010/Rw 003  Desa pakisan Kec tlogosari Kab. Bondowoso</v>
      </c>
      <c r="L260" s="16" t="str">
        <f>Sheet1!L315</f>
        <v>Sawiri</v>
      </c>
      <c r="M260" s="16" t="str">
        <f>Sheet1!M315</f>
        <v>Nur Hayatin</v>
      </c>
      <c r="N260" s="16" t="str">
        <f ca="1">Sheet1!N315</f>
        <v>20 Tahun, 3 Bulan, 17 Hari</v>
      </c>
      <c r="O260" s="16"/>
      <c r="P260" s="16"/>
    </row>
    <row r="261" spans="1:16" ht="20.100000000000001" customHeight="1" x14ac:dyDescent="0.25">
      <c r="A261" s="13">
        <f>Sheet1!A316</f>
        <v>315</v>
      </c>
      <c r="B261" s="14">
        <v>21</v>
      </c>
      <c r="C261" s="16">
        <f>Sheet1!C316</f>
        <v>0</v>
      </c>
      <c r="D261" s="14" t="str">
        <f>Sheet1!D316</f>
        <v>2B</v>
      </c>
      <c r="E261" s="14" t="str">
        <f>Sheet1!E316</f>
        <v>Ulya</v>
      </c>
      <c r="F261" s="16">
        <f>Sheet1!F316</f>
        <v>1576</v>
      </c>
      <c r="G261" s="16" t="str">
        <f>Sheet1!G316</f>
        <v>Muhammad Fathul Irfan</v>
      </c>
      <c r="H261" s="15" t="str">
        <f>Sheet1!H316</f>
        <v>Bondowoso</v>
      </c>
      <c r="I261" s="17" t="str">
        <f>Sheet1!I316</f>
        <v>25 Juli 2004</v>
      </c>
      <c r="J261" s="14" t="str">
        <f>Sheet1!J316</f>
        <v>M</v>
      </c>
      <c r="K261" s="16" t="str">
        <f>Sheet1!K316</f>
        <v>Jebung Kidul, Rt 013/Rw 003, , Kec.Tlogosari, Kab. Bondowoso</v>
      </c>
      <c r="L261" s="16" t="str">
        <f>Sheet1!L316</f>
        <v>Abd. Hadi</v>
      </c>
      <c r="M261" s="16" t="str">
        <f>Sheet1!M316</f>
        <v>Sri Wahyuni</v>
      </c>
      <c r="N261" s="16" t="str">
        <f ca="1">Sheet1!N316</f>
        <v>20 Tahun, 4 Bulan, 26 Hari</v>
      </c>
      <c r="O261" s="16"/>
      <c r="P261" s="16"/>
    </row>
    <row r="262" spans="1:16" ht="20.100000000000001" customHeight="1" x14ac:dyDescent="0.25">
      <c r="A262" s="13">
        <f>Sheet1!A317</f>
        <v>316</v>
      </c>
      <c r="B262" s="14">
        <v>22</v>
      </c>
      <c r="C262" s="16">
        <f>Sheet1!C317</f>
        <v>0</v>
      </c>
      <c r="D262" s="14" t="str">
        <f>Sheet1!D317</f>
        <v>3A</v>
      </c>
      <c r="E262" s="14" t="str">
        <f>Sheet1!E317</f>
        <v>Ulya</v>
      </c>
      <c r="F262" s="16">
        <f>Sheet1!F317</f>
        <v>1369</v>
      </c>
      <c r="G262" s="16" t="str">
        <f>Sheet1!G317</f>
        <v>Adriyan Rosadi</v>
      </c>
      <c r="H262" s="15" t="str">
        <f>Sheet1!H317</f>
        <v>Bondowoso</v>
      </c>
      <c r="I262" s="17" t="str">
        <f>Sheet1!I317</f>
        <v>07 Juli 2004</v>
      </c>
      <c r="J262" s="14" t="str">
        <f>Sheet1!J317</f>
        <v>M</v>
      </c>
      <c r="K262" s="16" t="str">
        <f>Sheet1!K317</f>
        <v>Dusun Pelalangan Rt 011/Rw 005 Desa Sukokert  Kec. Pujer Kab. Bondowoso</v>
      </c>
      <c r="L262" s="16">
        <f>Sheet1!L317</f>
        <v>0</v>
      </c>
      <c r="M262" s="16">
        <f>Sheet1!M317</f>
        <v>0</v>
      </c>
      <c r="N262" s="16" t="str">
        <f ca="1">Sheet1!N317</f>
        <v>20 Tahun, 5 Bulan, 14 Hari</v>
      </c>
      <c r="O262" s="16"/>
      <c r="P262" s="16"/>
    </row>
    <row r="263" spans="1:16" ht="20.100000000000001" customHeight="1" x14ac:dyDescent="0.25">
      <c r="A263" s="13">
        <f>Sheet1!A318</f>
        <v>317</v>
      </c>
      <c r="B263" s="14">
        <v>23</v>
      </c>
      <c r="C263" s="16">
        <f>Sheet1!C318</f>
        <v>0</v>
      </c>
      <c r="D263" s="14" t="str">
        <f>Sheet1!D318</f>
        <v>3A</v>
      </c>
      <c r="E263" s="14" t="str">
        <f>Sheet1!E318</f>
        <v>Ulya</v>
      </c>
      <c r="F263" s="16">
        <f>Sheet1!F318</f>
        <v>1410</v>
      </c>
      <c r="G263" s="16" t="str">
        <f>Sheet1!G318</f>
        <v>Moh Rifqi</v>
      </c>
      <c r="H263" s="15" t="str">
        <f>Sheet1!H318</f>
        <v>Bondowoso</v>
      </c>
      <c r="I263" s="17" t="str">
        <f>Sheet1!I318</f>
        <v>03 Juni 2004</v>
      </c>
      <c r="J263" s="14" t="str">
        <f>Sheet1!J318</f>
        <v>M</v>
      </c>
      <c r="K263" s="16" t="str">
        <f>Sheet1!K318</f>
        <v>Dusun kebun karang Rt 017/Rw 004 Desa pucang Anom Kec. Jambesari DS Kab. Bondowoso</v>
      </c>
      <c r="L263" s="16" t="str">
        <f>Sheet1!L318</f>
        <v>Hasan</v>
      </c>
      <c r="M263" s="16" t="str">
        <f>Sheet1!M318</f>
        <v>Lilik Hasanah</v>
      </c>
      <c r="N263" s="16" t="str">
        <f ca="1">Sheet1!N318</f>
        <v>20 Tahun, 6 Bulan, 18 Hari</v>
      </c>
      <c r="O263" s="16"/>
      <c r="P263" s="16"/>
    </row>
    <row r="264" spans="1:16" ht="20.100000000000001" customHeight="1" x14ac:dyDescent="0.25">
      <c r="A264" s="13">
        <f>Sheet1!A319</f>
        <v>318</v>
      </c>
      <c r="B264" s="14">
        <v>24</v>
      </c>
      <c r="C264" s="16">
        <f>Sheet1!C319</f>
        <v>0</v>
      </c>
      <c r="D264" s="14" t="str">
        <f>Sheet1!D319</f>
        <v>3A</v>
      </c>
      <c r="E264" s="14" t="str">
        <f>Sheet1!E319</f>
        <v>Ulya</v>
      </c>
      <c r="F264" s="16">
        <f>Sheet1!F319</f>
        <v>1376</v>
      </c>
      <c r="G264" s="16" t="str">
        <f>Sheet1!G319</f>
        <v>Irfan Sianturi</v>
      </c>
      <c r="H264" s="15" t="str">
        <f>Sheet1!H319</f>
        <v>Bondowoso</v>
      </c>
      <c r="I264" s="17" t="str">
        <f>Sheet1!I319</f>
        <v>21 April 2004</v>
      </c>
      <c r="J264" s="14" t="str">
        <f>Sheet1!J319</f>
        <v>M</v>
      </c>
      <c r="K264" s="16" t="str">
        <f>Sheet1!K319</f>
        <v>Desa Sukodono Rt 001/Rw 001 Kec. Pujer Kab. Bondowoso</v>
      </c>
      <c r="L264" s="16" t="str">
        <f>Sheet1!L319</f>
        <v>Moch. Kholil</v>
      </c>
      <c r="M264" s="16" t="str">
        <f>Sheet1!M319</f>
        <v>Fitri</v>
      </c>
      <c r="N264" s="16" t="str">
        <f ca="1">Sheet1!N319</f>
        <v>20 Tahun, 8 Bulan, 0 Hari</v>
      </c>
      <c r="O264" s="16"/>
      <c r="P264" s="16"/>
    </row>
    <row r="265" spans="1:16" ht="20.100000000000001" customHeight="1" x14ac:dyDescent="0.25">
      <c r="A265" s="13">
        <f>Sheet1!A320</f>
        <v>319</v>
      </c>
      <c r="B265" s="14">
        <v>25</v>
      </c>
      <c r="C265" s="16">
        <f>Sheet1!C320</f>
        <v>0</v>
      </c>
      <c r="D265" s="14" t="str">
        <f>Sheet1!D320</f>
        <v>3A</v>
      </c>
      <c r="E265" s="14" t="str">
        <f>Sheet1!E320</f>
        <v>Ulya</v>
      </c>
      <c r="F265" s="16">
        <f>Sheet1!F320</f>
        <v>1386</v>
      </c>
      <c r="G265" s="16" t="str">
        <f>Sheet1!G320</f>
        <v>Muhammad Arifandi</v>
      </c>
      <c r="H265" s="15" t="str">
        <f>Sheet1!H320</f>
        <v>Bondowoso</v>
      </c>
      <c r="I265" s="17" t="str">
        <f>Sheet1!I320</f>
        <v>19 Februari 2004</v>
      </c>
      <c r="J265" s="14" t="str">
        <f>Sheet1!J320</f>
        <v>M</v>
      </c>
      <c r="K265" s="16" t="str">
        <f>Sheet1!K320</f>
        <v>Desa Bacangan Rt 010/Rw 003 Kec. Taman Krocok Kab. Bondowoso</v>
      </c>
      <c r="L265" s="16" t="str">
        <f>Sheet1!L320</f>
        <v>HAFILI</v>
      </c>
      <c r="M265" s="16" t="str">
        <f>Sheet1!M320</f>
        <v>YATI OKTAVIA</v>
      </c>
      <c r="N265" s="16" t="str">
        <f ca="1">Sheet1!N320</f>
        <v>20 Tahun, 10 Bulan, 2 Hari</v>
      </c>
      <c r="O265" s="16"/>
      <c r="P265" s="16"/>
    </row>
    <row r="266" spans="1:16" ht="20.100000000000001" customHeight="1" x14ac:dyDescent="0.25">
      <c r="A266" s="13">
        <f>Sheet1!A321</f>
        <v>320</v>
      </c>
      <c r="B266" s="14">
        <v>26</v>
      </c>
      <c r="C266" s="16">
        <f>Sheet1!C321</f>
        <v>0</v>
      </c>
      <c r="D266" s="14" t="str">
        <f>Sheet1!D321</f>
        <v>3A</v>
      </c>
      <c r="E266" s="14" t="str">
        <f>Sheet1!E321</f>
        <v>Ulya</v>
      </c>
      <c r="F266" s="16">
        <f>Sheet1!F321</f>
        <v>1412</v>
      </c>
      <c r="G266" s="16" t="str">
        <f>Sheet1!G321</f>
        <v>Muammar Kadafi</v>
      </c>
      <c r="H266" s="15" t="str">
        <f>Sheet1!H321</f>
        <v>Bondowoso</v>
      </c>
      <c r="I266" s="17" t="str">
        <f>Sheet1!I321</f>
        <v>31 Oktober 2003</v>
      </c>
      <c r="J266" s="14" t="str">
        <f>Sheet1!J321</f>
        <v>M</v>
      </c>
      <c r="K266" s="16" t="str">
        <f>Sheet1!K321</f>
        <v>Dusun Angsanah, Rt; 036/Rw; 007 Jambesari kec. Jambesari DS, Kab. Bondowoso</v>
      </c>
      <c r="L266" s="16" t="str">
        <f>Sheet1!L321</f>
        <v>Sunarto</v>
      </c>
      <c r="M266" s="16" t="str">
        <f>Sheet1!M321</f>
        <v>Nima</v>
      </c>
      <c r="N266" s="16" t="str">
        <f ca="1">Sheet1!N321</f>
        <v>21 Tahun, 1 Bulan, 20 Hari</v>
      </c>
      <c r="O266" s="16"/>
      <c r="P266" s="16"/>
    </row>
    <row r="267" spans="1:16" ht="20.100000000000001" customHeight="1" x14ac:dyDescent="0.25">
      <c r="A267" s="13">
        <f>Sheet1!A322</f>
        <v>321</v>
      </c>
      <c r="B267" s="14">
        <v>27</v>
      </c>
      <c r="C267" s="16">
        <f>Sheet1!C322</f>
        <v>0</v>
      </c>
      <c r="D267" s="14" t="str">
        <f>Sheet1!D322</f>
        <v>2B</v>
      </c>
      <c r="E267" s="14" t="str">
        <f>Sheet1!E322</f>
        <v>Ulya</v>
      </c>
      <c r="F267" s="16">
        <f>Sheet1!F322</f>
        <v>1544</v>
      </c>
      <c r="G267" s="16" t="str">
        <f>Sheet1!G322</f>
        <v>Hosen</v>
      </c>
      <c r="H267" s="15" t="str">
        <f>Sheet1!H322</f>
        <v>Bondowoso</v>
      </c>
      <c r="I267" s="17" t="str">
        <f>Sheet1!I322</f>
        <v>16 November 2003</v>
      </c>
      <c r="J267" s="14" t="str">
        <f>Sheet1!J322</f>
        <v>M</v>
      </c>
      <c r="K267" s="16" t="str">
        <f>Sheet1!K322</f>
        <v>Pekalangan, 016/003, , Kec.Tenggarang, Kab.Bondowoso</v>
      </c>
      <c r="L267" s="16" t="str">
        <f>Sheet1!L322</f>
        <v>Subaeri</v>
      </c>
      <c r="M267" s="16" t="str">
        <f>Sheet1!M322</f>
        <v>Atik</v>
      </c>
      <c r="N267" s="16" t="str">
        <f ca="1">Sheet1!N322</f>
        <v>21 Tahun, 1 Bulan, 5 Hari</v>
      </c>
      <c r="O267" s="16"/>
      <c r="P267" s="16"/>
    </row>
    <row r="268" spans="1:16" ht="20.100000000000001" customHeight="1" x14ac:dyDescent="0.25">
      <c r="A268" s="13">
        <f>Sheet1!A323</f>
        <v>322</v>
      </c>
      <c r="B268" s="14">
        <v>28</v>
      </c>
      <c r="C268" s="16">
        <f>Sheet1!C323</f>
        <v>0</v>
      </c>
      <c r="D268" s="14" t="str">
        <f>Sheet1!D323</f>
        <v>3A</v>
      </c>
      <c r="E268" s="14" t="str">
        <f>Sheet1!E323</f>
        <v>Ulya</v>
      </c>
      <c r="F268" s="16">
        <f>Sheet1!F323</f>
        <v>1388</v>
      </c>
      <c r="G268" s="16" t="str">
        <f>Sheet1!G323</f>
        <v>M. Faris Maulana Hasan</v>
      </c>
      <c r="H268" s="15" t="str">
        <f>Sheet1!H323</f>
        <v>Bondowoso</v>
      </c>
      <c r="I268" s="17" t="str">
        <f>Sheet1!I323</f>
        <v>23 Oktober 2003</v>
      </c>
      <c r="J268" s="14" t="str">
        <f>Sheet1!J323</f>
        <v>M</v>
      </c>
      <c r="K268" s="16" t="str">
        <f>Sheet1!K323</f>
        <v>Desa Mengok Rt 027/Rw 004 Kec. Pujer Kab. Bondowoso</v>
      </c>
      <c r="L268" s="16" t="str">
        <f>Sheet1!L323</f>
        <v>Moh. Hasan</v>
      </c>
      <c r="M268" s="16" t="str">
        <f>Sheet1!M323</f>
        <v>Sukrimah</v>
      </c>
      <c r="N268" s="16" t="str">
        <f ca="1">Sheet1!N323</f>
        <v>21 Tahun, 1 Bulan, 28 Hari</v>
      </c>
      <c r="O268" s="16"/>
      <c r="P268" s="16"/>
    </row>
    <row r="269" spans="1:16" ht="20.100000000000001" customHeight="1" x14ac:dyDescent="0.25">
      <c r="A269" s="13">
        <f>Sheet1!A324</f>
        <v>323</v>
      </c>
      <c r="B269" s="14">
        <v>29</v>
      </c>
      <c r="C269" s="16">
        <f>Sheet1!C324</f>
        <v>0</v>
      </c>
      <c r="D269" s="14" t="str">
        <f>Sheet1!D324</f>
        <v>3A</v>
      </c>
      <c r="E269" s="14" t="str">
        <f>Sheet1!E324</f>
        <v>Ulya</v>
      </c>
      <c r="F269" s="16">
        <f>Sheet1!F324</f>
        <v>1401</v>
      </c>
      <c r="G269" s="16" t="str">
        <f>Sheet1!G324</f>
        <v>Fawaid</v>
      </c>
      <c r="H269" s="15" t="str">
        <f>Sheet1!H324</f>
        <v>Bondowoso</v>
      </c>
      <c r="I269" s="17">
        <f>Sheet1!I324</f>
        <v>37620</v>
      </c>
      <c r="J269" s="14" t="str">
        <f>Sheet1!J324</f>
        <v>M</v>
      </c>
      <c r="K269" s="16" t="str">
        <f>Sheet1!K324</f>
        <v xml:space="preserve">Dusun Karang Tengah Rt 013/Rw 003 Desa Pengarang Kec. Jambesari DS Kab. Bondowoso </v>
      </c>
      <c r="L269" s="16" t="str">
        <f>Sheet1!L324</f>
        <v>Mawardi</v>
      </c>
      <c r="M269" s="16" t="str">
        <f>Sheet1!M324</f>
        <v>Warda</v>
      </c>
      <c r="N269" s="16" t="str">
        <f ca="1">Sheet1!N324</f>
        <v>21 Tahun, 11 Bulan, 21 Hari</v>
      </c>
      <c r="O269" s="16"/>
      <c r="P269" s="16"/>
    </row>
    <row r="270" spans="1:16" ht="20.100000000000001" customHeight="1" x14ac:dyDescent="0.25">
      <c r="A270" s="13">
        <f>Sheet1!A325</f>
        <v>324</v>
      </c>
      <c r="B270" s="14">
        <v>30</v>
      </c>
      <c r="C270" s="16">
        <f>Sheet1!C325</f>
        <v>0</v>
      </c>
      <c r="D270" s="14" t="str">
        <f>Sheet1!D325</f>
        <v>3A</v>
      </c>
      <c r="E270" s="14" t="str">
        <f>Sheet1!E325</f>
        <v>Ulya</v>
      </c>
      <c r="F270" s="16">
        <f>Sheet1!F325</f>
        <v>1394</v>
      </c>
      <c r="G270" s="16" t="str">
        <f>Sheet1!G325</f>
        <v>Rifki Amrullah</v>
      </c>
      <c r="H270" s="15" t="str">
        <f>Sheet1!H325</f>
        <v>Bondowoso</v>
      </c>
      <c r="I270" s="17" t="str">
        <f>Sheet1!I325</f>
        <v>07 Mei 2003</v>
      </c>
      <c r="J270" s="14" t="str">
        <f>Sheet1!J325</f>
        <v>M</v>
      </c>
      <c r="K270" s="16" t="str">
        <f>Sheet1!K325</f>
        <v>Desa Kesemek Rt 014/Rw 007 Kec. Tenggarang Kab. Bondowoso</v>
      </c>
      <c r="L270" s="16" t="str">
        <f>Sheet1!L325</f>
        <v>Mistawi</v>
      </c>
      <c r="M270" s="16" t="str">
        <f>Sheet1!M325</f>
        <v>Faridah</v>
      </c>
      <c r="N270" s="16" t="str">
        <f ca="1">Sheet1!N325</f>
        <v>21 Tahun, 7 Bulan, 14 Hari</v>
      </c>
      <c r="O270" s="16"/>
      <c r="P270" s="16"/>
    </row>
    <row r="271" spans="1:16" ht="20.100000000000001" customHeight="1" x14ac:dyDescent="0.25">
      <c r="A271" s="13">
        <f>Sheet1!A326</f>
        <v>325</v>
      </c>
      <c r="B271" s="14">
        <v>31</v>
      </c>
      <c r="C271" s="16">
        <f>Sheet1!C326</f>
        <v>0</v>
      </c>
      <c r="D271" s="14" t="str">
        <f>Sheet1!D326</f>
        <v>3A</v>
      </c>
      <c r="E271" s="14" t="str">
        <f>Sheet1!E326</f>
        <v>Ulya</v>
      </c>
      <c r="F271" s="16">
        <f>Sheet1!F326</f>
        <v>1404</v>
      </c>
      <c r="G271" s="16" t="str">
        <f>Sheet1!G326</f>
        <v>Ilham Indra Maulana</v>
      </c>
      <c r="H271" s="15" t="str">
        <f>Sheet1!H326</f>
        <v>Bondowoso</v>
      </c>
      <c r="I271" s="17" t="str">
        <f>Sheet1!I326</f>
        <v>07 Mei 2003</v>
      </c>
      <c r="J271" s="14" t="str">
        <f>Sheet1!J326</f>
        <v>M</v>
      </c>
      <c r="K271" s="16" t="str">
        <f>Sheet1!K326</f>
        <v>Dusun Krajan RT. 030 Rw. 006 Jambeanom Jambesari DS Bondowoso</v>
      </c>
      <c r="L271" s="16" t="str">
        <f>Sheet1!L326</f>
        <v>Abusiri</v>
      </c>
      <c r="M271" s="16" t="str">
        <f>Sheet1!M326</f>
        <v>Rahmawati</v>
      </c>
      <c r="N271" s="16" t="str">
        <f ca="1">Sheet1!N326</f>
        <v>21 Tahun, 7 Bulan, 14 Hari</v>
      </c>
      <c r="O271" s="16"/>
      <c r="P271" s="16"/>
    </row>
    <row r="272" spans="1:16" ht="20.100000000000001" customHeight="1" x14ac:dyDescent="0.25">
      <c r="A272" s="13">
        <f>Sheet1!A327</f>
        <v>326</v>
      </c>
      <c r="B272" s="14">
        <v>32</v>
      </c>
      <c r="C272" s="16">
        <f>Sheet1!C327</f>
        <v>0</v>
      </c>
      <c r="D272" s="14" t="str">
        <f>Sheet1!D327</f>
        <v>3A</v>
      </c>
      <c r="E272" s="14" t="str">
        <f>Sheet1!E327</f>
        <v>Ulya</v>
      </c>
      <c r="F272" s="16">
        <f>Sheet1!F327</f>
        <v>1396</v>
      </c>
      <c r="G272" s="16" t="str">
        <f>Sheet1!G327</f>
        <v>Abdur Rahman</v>
      </c>
      <c r="H272" s="15" t="str">
        <f>Sheet1!H327</f>
        <v>Bondowoso</v>
      </c>
      <c r="I272" s="17" t="str">
        <f>Sheet1!I327</f>
        <v>14 Mei 2003</v>
      </c>
      <c r="J272" s="14" t="str">
        <f>Sheet1!J327</f>
        <v>M</v>
      </c>
      <c r="K272" s="16" t="str">
        <f>Sheet1!K327</f>
        <v>Dusun Sbr. Walen Rt.018/Rw.004 Desa Pakisan Kec. Tlogosari Kab. Bondowoso</v>
      </c>
      <c r="L272" s="16" t="str">
        <f>Sheet1!L327</f>
        <v>Juhari</v>
      </c>
      <c r="M272" s="16">
        <f>Sheet1!M327</f>
        <v>0</v>
      </c>
      <c r="N272" s="16" t="str">
        <f ca="1">Sheet1!N327</f>
        <v>21 Tahun, 7 Bulan, 7 Hari</v>
      </c>
      <c r="O272" s="16"/>
      <c r="P272" s="16"/>
    </row>
    <row r="273" spans="1:16" ht="20.100000000000001" customHeight="1" x14ac:dyDescent="0.25">
      <c r="A273" s="13">
        <f>Sheet1!A328</f>
        <v>327</v>
      </c>
      <c r="B273" s="14">
        <v>33</v>
      </c>
      <c r="C273" s="16">
        <f>Sheet1!C328</f>
        <v>0</v>
      </c>
      <c r="D273" s="14" t="str">
        <f>Sheet1!D328</f>
        <v>3A</v>
      </c>
      <c r="E273" s="14" t="str">
        <f>Sheet1!E328</f>
        <v>Ulya</v>
      </c>
      <c r="F273" s="16">
        <f>Sheet1!F328</f>
        <v>1378</v>
      </c>
      <c r="G273" s="16" t="str">
        <f>Sheet1!G328</f>
        <v>Lailul Hidayat</v>
      </c>
      <c r="H273" s="15" t="str">
        <f>Sheet1!H328</f>
        <v>Bondowoso</v>
      </c>
      <c r="I273" s="17" t="str">
        <f>Sheet1!I328</f>
        <v>23 April 2003</v>
      </c>
      <c r="J273" s="14" t="str">
        <f>Sheet1!J328</f>
        <v>M</v>
      </c>
      <c r="K273" s="16" t="str">
        <f>Sheet1!K328</f>
        <v>Dusun Kebun Karang Rt 036/Rw 011 Pucang Anom Kec. Jambesari DS  Kab. Bondowoso</v>
      </c>
      <c r="L273" s="16" t="str">
        <f>Sheet1!L328</f>
        <v>Ahmadi</v>
      </c>
      <c r="M273" s="16" t="str">
        <f>Sheet1!M328</f>
        <v>Munawwaroh</v>
      </c>
      <c r="N273" s="16" t="str">
        <f ca="1">Sheet1!N328</f>
        <v>21 Tahun, 7 Bulan, 28 Hari</v>
      </c>
      <c r="O273" s="16"/>
      <c r="P273" s="16"/>
    </row>
    <row r="274" spans="1:16" ht="20.100000000000001" customHeight="1" x14ac:dyDescent="0.25">
      <c r="A274" s="13">
        <f>Sheet1!A329</f>
        <v>328</v>
      </c>
      <c r="B274" s="14">
        <v>34</v>
      </c>
      <c r="C274" s="16">
        <f>Sheet1!C329</f>
        <v>0</v>
      </c>
      <c r="D274" s="14" t="str">
        <f>Sheet1!D329</f>
        <v>3A</v>
      </c>
      <c r="E274" s="14" t="str">
        <f>Sheet1!E329</f>
        <v>Ulya</v>
      </c>
      <c r="F274" s="16">
        <f>Sheet1!F329</f>
        <v>1411</v>
      </c>
      <c r="G274" s="16" t="str">
        <f>Sheet1!G329</f>
        <v>Mohammad Arifin B</v>
      </c>
      <c r="H274" s="15" t="str">
        <f>Sheet1!H329</f>
        <v>Bondowoso</v>
      </c>
      <c r="I274" s="17" t="str">
        <f>Sheet1!I329</f>
        <v>13 Januari 2002</v>
      </c>
      <c r="J274" s="14" t="str">
        <f>Sheet1!J329</f>
        <v>M</v>
      </c>
      <c r="K274" s="16" t="str">
        <f>Sheet1!K329</f>
        <v>Dusun Krajan Rt. 008 Rw. 001 Desa Pejagan Kec Jambesari D.S Kab.Bondowoso</v>
      </c>
      <c r="L274" s="16" t="str">
        <f>Sheet1!L329</f>
        <v xml:space="preserve">Abdus Salam </v>
      </c>
      <c r="M274" s="16" t="str">
        <f>Sheet1!M329</f>
        <v>Sutriyani</v>
      </c>
      <c r="N274" s="16" t="str">
        <f ca="1">Sheet1!N329</f>
        <v>22 Tahun, 11 Bulan, 8 Hari</v>
      </c>
      <c r="O274" s="16"/>
      <c r="P274" s="16"/>
    </row>
    <row r="275" spans="1:16" ht="20.100000000000001" customHeight="1" x14ac:dyDescent="0.25">
      <c r="A275" s="13">
        <f>Sheet1!A330</f>
        <v>329</v>
      </c>
      <c r="B275" s="14">
        <v>35</v>
      </c>
      <c r="C275" s="16">
        <f>Sheet1!C330</f>
        <v>0</v>
      </c>
      <c r="D275" s="14" t="str">
        <f>Sheet1!D330</f>
        <v>3A</v>
      </c>
      <c r="E275" s="14" t="str">
        <f>Sheet1!E330</f>
        <v>Ulya</v>
      </c>
      <c r="F275" s="16">
        <f>Sheet1!F330</f>
        <v>1385</v>
      </c>
      <c r="G275" s="16" t="str">
        <f>Sheet1!G330</f>
        <v>Muhammad Aqil</v>
      </c>
      <c r="H275" s="15" t="str">
        <f>Sheet1!H330</f>
        <v>Bondowoso</v>
      </c>
      <c r="I275" s="17" t="str">
        <f>Sheet1!I330</f>
        <v>05 Agustus 2002</v>
      </c>
      <c r="J275" s="14" t="str">
        <f>Sheet1!J330</f>
        <v>M</v>
      </c>
      <c r="K275" s="16" t="str">
        <f>Sheet1!K330</f>
        <v>Desa trotosari Rt 009/Rw.-  Kec. Tlogosari Kab. Bondowoso</v>
      </c>
      <c r="L275" s="16" t="str">
        <f>Sheet1!L330</f>
        <v>Sipul</v>
      </c>
      <c r="M275" s="16" t="str">
        <f>Sheet1!M330</f>
        <v>Sifak</v>
      </c>
      <c r="N275" s="16" t="str">
        <f ca="1">Sheet1!N330</f>
        <v>22 Tahun, 4 Bulan, 16 Hari</v>
      </c>
      <c r="O275" s="16"/>
      <c r="P275" s="16"/>
    </row>
    <row r="276" spans="1:16" ht="20.100000000000001" customHeight="1" x14ac:dyDescent="0.25">
      <c r="A276" s="13">
        <f>Sheet1!A331</f>
        <v>330</v>
      </c>
      <c r="B276" s="14">
        <v>36</v>
      </c>
      <c r="C276" s="16">
        <f>Sheet1!C331</f>
        <v>0</v>
      </c>
      <c r="D276" s="14" t="str">
        <f>Sheet1!D331</f>
        <v>3A</v>
      </c>
      <c r="E276" s="14" t="str">
        <f>Sheet1!E331</f>
        <v>Ulya</v>
      </c>
      <c r="F276" s="16">
        <f>Sheet1!F331</f>
        <v>1405</v>
      </c>
      <c r="G276" s="16" t="str">
        <f>Sheet1!G331</f>
        <v>Iqbalul Faizin</v>
      </c>
      <c r="H276" s="15" t="str">
        <f>Sheet1!H331</f>
        <v>Bondowoso</v>
      </c>
      <c r="I276" s="17" t="str">
        <f>Sheet1!I331</f>
        <v>16 Agustus 2002</v>
      </c>
      <c r="J276" s="14" t="str">
        <f>Sheet1!J331</f>
        <v>M</v>
      </c>
      <c r="K276" s="16" t="str">
        <f>Sheet1!K331</f>
        <v>Desa Tlogosari Rt 014/Rw 004 Kec. Tlogosari Kab. Bondowoso</v>
      </c>
      <c r="L276" s="16" t="str">
        <f>Sheet1!L331</f>
        <v>Moh.Sholeh</v>
      </c>
      <c r="M276" s="16" t="str">
        <f>Sheet1!M331</f>
        <v>Siti Muflihah</v>
      </c>
      <c r="N276" s="16" t="str">
        <f ca="1">Sheet1!N331</f>
        <v>22 Tahun, 4 Bulan, 5 Hari</v>
      </c>
      <c r="O276" s="16"/>
      <c r="P276" s="16"/>
    </row>
    <row r="277" spans="1:16" ht="20.100000000000001" customHeight="1" x14ac:dyDescent="0.25">
      <c r="A277" s="13">
        <f>Sheet1!A332</f>
        <v>331</v>
      </c>
      <c r="B277" s="14">
        <v>37</v>
      </c>
      <c r="C277" s="16">
        <f>Sheet1!C332</f>
        <v>0</v>
      </c>
      <c r="D277" s="14" t="str">
        <f>Sheet1!D332</f>
        <v>3A</v>
      </c>
      <c r="E277" s="14" t="str">
        <f>Sheet1!E332</f>
        <v>Ulya</v>
      </c>
      <c r="F277" s="16">
        <f>Sheet1!F332</f>
        <v>1407</v>
      </c>
      <c r="G277" s="16" t="str">
        <f>Sheet1!G332</f>
        <v>Mahroji</v>
      </c>
      <c r="H277" s="15" t="str">
        <f>Sheet1!H332</f>
        <v>Bondowoso</v>
      </c>
      <c r="I277" s="17" t="str">
        <f>Sheet1!I332</f>
        <v>16 September 2001</v>
      </c>
      <c r="J277" s="14" t="str">
        <f>Sheet1!J332</f>
        <v>M</v>
      </c>
      <c r="K277" s="16" t="str">
        <f>Sheet1!K332</f>
        <v>Tegal Mijin Grujugan Bondowoso</v>
      </c>
      <c r="L277" s="16" t="str">
        <f>Sheet1!L332</f>
        <v>Mursidi</v>
      </c>
      <c r="M277" s="16" t="str">
        <f>Sheet1!M332</f>
        <v>Holipatun</v>
      </c>
      <c r="N277" s="16" t="str">
        <f ca="1">Sheet1!N332</f>
        <v>23 Tahun, 3 Bulan, 5 Hari</v>
      </c>
      <c r="O277" s="16"/>
      <c r="P277" s="16"/>
    </row>
    <row r="278" spans="1:16" ht="20.100000000000001" customHeight="1" x14ac:dyDescent="0.25">
      <c r="A278" s="13">
        <f>Sheet1!A333</f>
        <v>332</v>
      </c>
      <c r="B278" s="14">
        <v>38</v>
      </c>
      <c r="C278" s="16">
        <f>Sheet1!C333</f>
        <v>0</v>
      </c>
      <c r="D278" s="14" t="str">
        <f>Sheet1!D333</f>
        <v>3A</v>
      </c>
      <c r="E278" s="14" t="str">
        <f>Sheet1!E333</f>
        <v>Ulya</v>
      </c>
      <c r="F278" s="16">
        <f>Sheet1!F333</f>
        <v>1419</v>
      </c>
      <c r="G278" s="16" t="str">
        <f>Sheet1!G333</f>
        <v>Muhammad Vian Ali</v>
      </c>
      <c r="H278" s="15" t="str">
        <f>Sheet1!H333</f>
        <v>Bondowoso,</v>
      </c>
      <c r="I278" s="17" t="str">
        <f>Sheet1!I333</f>
        <v>28 september 2007</v>
      </c>
      <c r="J278" s="14" t="str">
        <f>Sheet1!J333</f>
        <v>M</v>
      </c>
      <c r="K278" s="16" t="str">
        <f>Sheet1!K333</f>
        <v>Sukdono Pujer Bondowoso</v>
      </c>
      <c r="L278" s="16" t="str">
        <f>Sheet1!L333</f>
        <v>Moh Toha</v>
      </c>
      <c r="M278" s="16" t="str">
        <f>Sheet1!M333</f>
        <v xml:space="preserve">Uswatun Hasanah </v>
      </c>
      <c r="N278" s="16" t="str">
        <f ca="1">Sheet1!N333</f>
        <v>17 Tahun, 2 Bulan, 23 Hari</v>
      </c>
      <c r="O278" s="16"/>
      <c r="P278" s="16"/>
    </row>
    <row r="279" spans="1:16" ht="20.100000000000001" customHeight="1" x14ac:dyDescent="0.25">
      <c r="A279" s="13">
        <f>Sheet1!A334</f>
        <v>333</v>
      </c>
      <c r="B279" s="14">
        <v>39</v>
      </c>
      <c r="C279" s="16">
        <f>Sheet1!C334</f>
        <v>0</v>
      </c>
      <c r="D279" s="14" t="str">
        <f>Sheet1!D334</f>
        <v>3A</v>
      </c>
      <c r="E279" s="14" t="str">
        <f>Sheet1!E334</f>
        <v>Ulya</v>
      </c>
      <c r="F279" s="16">
        <f>Sheet1!F334</f>
        <v>1422</v>
      </c>
      <c r="G279" s="16" t="str">
        <f>Sheet1!G334</f>
        <v>Wildan Mukhalladun</v>
      </c>
      <c r="H279" s="15" t="str">
        <f>Sheet1!H334</f>
        <v>Bondowoso,</v>
      </c>
      <c r="I279" s="17">
        <f>Sheet1!I334</f>
        <v>39125</v>
      </c>
      <c r="J279" s="14" t="str">
        <f>Sheet1!J334</f>
        <v>M</v>
      </c>
      <c r="K279" s="16" t="str">
        <f>Sheet1!K334</f>
        <v>Dusun Beddian Rt. 030/Rw.006 Desa Jambesari Kec. Jambesari Darus Sholah Bondowoso</v>
      </c>
      <c r="L279" s="16" t="str">
        <f>Sheet1!L334</f>
        <v>Sutresno</v>
      </c>
      <c r="M279" s="16" t="str">
        <f>Sheet1!M334</f>
        <v>Uswatun Hasanah</v>
      </c>
      <c r="N279" s="16" t="str">
        <f ca="1">Sheet1!N334</f>
        <v>17 Tahun, 10 Bulan, 9 Hari</v>
      </c>
      <c r="O279" s="16"/>
      <c r="P279" s="16"/>
    </row>
    <row r="280" spans="1:16" ht="20.100000000000001" customHeight="1" x14ac:dyDescent="0.25">
      <c r="A280" s="13">
        <f>Sheet1!A335</f>
        <v>334</v>
      </c>
      <c r="B280" s="14">
        <v>40</v>
      </c>
      <c r="C280" s="16">
        <f>Sheet1!C335</f>
        <v>0</v>
      </c>
      <c r="D280" s="14" t="str">
        <f>Sheet1!D335</f>
        <v>3A</v>
      </c>
      <c r="E280" s="14" t="str">
        <f>Sheet1!E335</f>
        <v>Ulya</v>
      </c>
      <c r="F280" s="16">
        <f>Sheet1!F335</f>
        <v>1377</v>
      </c>
      <c r="G280" s="16" t="str">
        <f>Sheet1!G335</f>
        <v>Khoirul Qodavil Umam</v>
      </c>
      <c r="H280" s="15" t="str">
        <f>Sheet1!H335</f>
        <v>Bondowoso,</v>
      </c>
      <c r="I280" s="17" t="str">
        <f>Sheet1!I335</f>
        <v>02 Februari 2007</v>
      </c>
      <c r="J280" s="14" t="str">
        <f>Sheet1!J335</f>
        <v>M</v>
      </c>
      <c r="K280" s="16" t="str">
        <f>Sheet1!K335</f>
        <v>Dusun Mengok Rt. 013/Rw. 004 Desa Mengok Kec. Pujer Kab. Bondowoso</v>
      </c>
      <c r="L280" s="16" t="str">
        <f>Sheet1!L335</f>
        <v>Sudahri</v>
      </c>
      <c r="M280" s="16" t="str">
        <f>Sheet1!M335</f>
        <v>Hafidah</v>
      </c>
      <c r="N280" s="16" t="str">
        <f ca="1">Sheet1!N335</f>
        <v>17 Tahun, 10 Bulan, 19 Hari</v>
      </c>
      <c r="O280" s="16"/>
      <c r="P280" s="16"/>
    </row>
    <row r="281" spans="1:16" ht="20.100000000000001" customHeight="1" x14ac:dyDescent="0.25">
      <c r="A281" s="13">
        <f>Sheet1!A336</f>
        <v>335</v>
      </c>
      <c r="B281" s="14">
        <v>41</v>
      </c>
      <c r="C281" s="16">
        <f>Sheet1!C336</f>
        <v>0</v>
      </c>
      <c r="D281" s="14" t="str">
        <f>Sheet1!D336</f>
        <v>3A</v>
      </c>
      <c r="E281" s="14" t="str">
        <f>Sheet1!E336</f>
        <v>Ulya</v>
      </c>
      <c r="F281" s="16">
        <f>Sheet1!F336</f>
        <v>1368</v>
      </c>
      <c r="G281" s="16" t="str">
        <f>Sheet1!G336</f>
        <v>Abdul Wakil</v>
      </c>
      <c r="H281" s="15" t="str">
        <f>Sheet1!H336</f>
        <v>Bondowoso,</v>
      </c>
      <c r="I281" s="17" t="str">
        <f>Sheet1!I336</f>
        <v>24 Juni 2006</v>
      </c>
      <c r="J281" s="14" t="str">
        <f>Sheet1!J336</f>
        <v>M</v>
      </c>
      <c r="K281" s="16" t="str">
        <f>Sheet1!K336</f>
        <v>Desa Sukodono Rt 010/Rw 004 Kec. Pujer Kab. Bondowoso</v>
      </c>
      <c r="L281" s="16" t="str">
        <f>Sheet1!L336</f>
        <v>Hatib</v>
      </c>
      <c r="M281" s="16" t="str">
        <f>Sheet1!M336</f>
        <v xml:space="preserve">Sunartik </v>
      </c>
      <c r="N281" s="16" t="str">
        <f ca="1">Sheet1!N336</f>
        <v>18 Tahun, 5 Bulan, 27 Hari</v>
      </c>
      <c r="O281" s="16"/>
      <c r="P281" s="16"/>
    </row>
    <row r="282" spans="1:16" ht="20.100000000000001" customHeight="1" x14ac:dyDescent="0.25">
      <c r="A282" s="13">
        <f>Sheet1!A337</f>
        <v>336</v>
      </c>
      <c r="B282" s="14">
        <v>42</v>
      </c>
      <c r="C282" s="16">
        <f>Sheet1!C337</f>
        <v>0</v>
      </c>
      <c r="D282" s="14" t="str">
        <f>Sheet1!D337</f>
        <v>3A</v>
      </c>
      <c r="E282" s="14" t="str">
        <f>Sheet1!E337</f>
        <v>Ulya</v>
      </c>
      <c r="F282" s="16">
        <f>Sheet1!F337</f>
        <v>1403</v>
      </c>
      <c r="G282" s="16" t="str">
        <f>Sheet1!G337</f>
        <v>M. Ikrom Maulana Sholihin</v>
      </c>
      <c r="H282" s="15" t="str">
        <f>Sheet1!H337</f>
        <v>Bondowoso,</v>
      </c>
      <c r="I282" s="17" t="str">
        <f>Sheet1!I337</f>
        <v>02 Juni 2006</v>
      </c>
      <c r="J282" s="14" t="str">
        <f>Sheet1!J337</f>
        <v>M</v>
      </c>
      <c r="K282" s="16" t="str">
        <f>Sheet1!K337</f>
        <v>Desa Mengok Rt.013 /Rw. 004 Kec.Pujer Bondowoso</v>
      </c>
      <c r="L282" s="16" t="str">
        <f>Sheet1!L337</f>
        <v>Zaini</v>
      </c>
      <c r="M282" s="16" t="str">
        <f>Sheet1!M337</f>
        <v>Maryani</v>
      </c>
      <c r="N282" s="16" t="str">
        <f ca="1">Sheet1!N337</f>
        <v>18 Tahun, 6 Bulan, 19 Hari</v>
      </c>
      <c r="O282" s="16"/>
      <c r="P282" s="16"/>
    </row>
    <row r="283" spans="1:16" ht="20.100000000000001" customHeight="1" x14ac:dyDescent="0.25">
      <c r="A283" s="13">
        <f>Sheet1!A338</f>
        <v>337</v>
      </c>
      <c r="B283" s="14">
        <v>43</v>
      </c>
      <c r="C283" s="16">
        <f>Sheet1!C338</f>
        <v>0</v>
      </c>
      <c r="D283" s="14" t="str">
        <f>Sheet1!D338</f>
        <v>3A</v>
      </c>
      <c r="E283" s="14" t="str">
        <f>Sheet1!E338</f>
        <v>Ulya</v>
      </c>
      <c r="F283" s="16">
        <f>Sheet1!F338</f>
        <v>1374</v>
      </c>
      <c r="G283" s="16" t="str">
        <f>Sheet1!G338</f>
        <v>Ach. Fauzi Afandi</v>
      </c>
      <c r="H283" s="15" t="str">
        <f>Sheet1!H338</f>
        <v>Bondowoso,</v>
      </c>
      <c r="I283" s="17" t="str">
        <f>Sheet1!I338</f>
        <v>28 April 2006</v>
      </c>
      <c r="J283" s="14" t="str">
        <f>Sheet1!J338</f>
        <v>M</v>
      </c>
      <c r="K283" s="16" t="str">
        <f>Sheet1!K338</f>
        <v>Desa Mengok Rt.013/Rw.003 Kec. Pujer Bondowoso</v>
      </c>
      <c r="L283" s="16" t="str">
        <f>Sheet1!L338</f>
        <v>Sahlan</v>
      </c>
      <c r="M283" s="16" t="str">
        <f>Sheet1!M338</f>
        <v>Sumiati</v>
      </c>
      <c r="N283" s="16" t="str">
        <f ca="1">Sheet1!N338</f>
        <v>18 Tahun, 7 Bulan, 23 Hari</v>
      </c>
      <c r="O283" s="16"/>
      <c r="P283" s="16"/>
    </row>
    <row r="284" spans="1:16" ht="20.100000000000001" customHeight="1" x14ac:dyDescent="0.25">
      <c r="A284" s="13">
        <f>Sheet1!A339</f>
        <v>338</v>
      </c>
      <c r="B284" s="14">
        <v>44</v>
      </c>
      <c r="C284" s="16">
        <f>Sheet1!C339</f>
        <v>0</v>
      </c>
      <c r="D284" s="14" t="str">
        <f>Sheet1!D339</f>
        <v>3A</v>
      </c>
      <c r="E284" s="14" t="str">
        <f>Sheet1!E339</f>
        <v>Ulya</v>
      </c>
      <c r="F284" s="16">
        <f>Sheet1!F339</f>
        <v>1391</v>
      </c>
      <c r="G284" s="16" t="str">
        <f>Sheet1!G339</f>
        <v>Muhammad Zaenuri</v>
      </c>
      <c r="H284" s="15" t="str">
        <f>Sheet1!H339</f>
        <v>Bondowoso,</v>
      </c>
      <c r="I284" s="17" t="str">
        <f>Sheet1!I339</f>
        <v>14 Agustus 2005</v>
      </c>
      <c r="J284" s="14" t="str">
        <f>Sheet1!J339</f>
        <v>M</v>
      </c>
      <c r="K284" s="16" t="str">
        <f>Sheet1!K339</f>
        <v>Desa Sukowono Rt 017/Rw 002 Kec. Pujer Kab. Bondowoso</v>
      </c>
      <c r="L284" s="16" t="str">
        <f>Sheet1!L339</f>
        <v>Taufik</v>
      </c>
      <c r="M284" s="16" t="str">
        <f>Sheet1!M339</f>
        <v>Siti Nur Holifah</v>
      </c>
      <c r="N284" s="16" t="str">
        <f ca="1">Sheet1!N339</f>
        <v>19 Tahun, 4 Bulan, 7 Hari</v>
      </c>
      <c r="O284" s="16"/>
      <c r="P284" s="16"/>
    </row>
    <row r="285" spans="1:16" ht="20.100000000000001" customHeight="1" x14ac:dyDescent="0.25">
      <c r="A285" s="13">
        <f>Sheet1!A340</f>
        <v>339</v>
      </c>
      <c r="B285" s="14">
        <v>45</v>
      </c>
      <c r="C285" s="16">
        <f>Sheet1!C340</f>
        <v>0</v>
      </c>
      <c r="D285" s="14" t="str">
        <f>Sheet1!D340</f>
        <v>3A</v>
      </c>
      <c r="E285" s="14" t="str">
        <f>Sheet1!E340</f>
        <v>Ulya</v>
      </c>
      <c r="F285" s="16">
        <f>Sheet1!F340</f>
        <v>1417</v>
      </c>
      <c r="G285" s="16" t="str">
        <f>Sheet1!G340</f>
        <v>Muhammad Nur Hasan</v>
      </c>
      <c r="H285" s="15" t="str">
        <f>Sheet1!H340</f>
        <v>Bondowoso,</v>
      </c>
      <c r="I285" s="17" t="str">
        <f>Sheet1!I340</f>
        <v>28 Desember 2003</v>
      </c>
      <c r="J285" s="14" t="str">
        <f>Sheet1!J340</f>
        <v>M</v>
      </c>
      <c r="K285" s="16" t="str">
        <f>Sheet1!K340</f>
        <v>Desa Grujugan Kidul Rt 020/Rw 001 Kec. Grujugan Kab. Bondowoso</v>
      </c>
      <c r="L285" s="16" t="str">
        <f>Sheet1!L340</f>
        <v>Nimar</v>
      </c>
      <c r="M285" s="16" t="str">
        <f>Sheet1!M340</f>
        <v>Misyati</v>
      </c>
      <c r="N285" s="16" t="str">
        <f ca="1">Sheet1!N340</f>
        <v>20 Tahun, 11 Bulan, 23 Hari</v>
      </c>
      <c r="O285" s="16"/>
      <c r="P285" s="16"/>
    </row>
    <row r="286" spans="1:16" ht="20.100000000000001" customHeight="1" x14ac:dyDescent="0.25">
      <c r="A286" s="13">
        <f>Sheet1!A341</f>
        <v>340</v>
      </c>
      <c r="B286" s="14">
        <v>46</v>
      </c>
      <c r="C286" s="16">
        <f>Sheet1!C341</f>
        <v>0</v>
      </c>
      <c r="D286" s="14" t="str">
        <f>Sheet1!D341</f>
        <v>3A</v>
      </c>
      <c r="E286" s="14" t="str">
        <f>Sheet1!E341</f>
        <v>Ulya</v>
      </c>
      <c r="F286" s="16">
        <f>Sheet1!F341</f>
        <v>1393</v>
      </c>
      <c r="G286" s="16" t="str">
        <f>Sheet1!G341</f>
        <v>Ridofi</v>
      </c>
      <c r="H286" s="15" t="str">
        <f>Sheet1!H341</f>
        <v>Bondowoso,</v>
      </c>
      <c r="I286" s="17" t="str">
        <f>Sheet1!I341</f>
        <v>13 Juli 2002</v>
      </c>
      <c r="J286" s="14" t="str">
        <f>Sheet1!J341</f>
        <v>M</v>
      </c>
      <c r="K286" s="16" t="str">
        <f>Sheet1!K341</f>
        <v>Dusun Sumber Tengah ,Rt; 020/Rw; 004,Desa; Sumber Anom,Kec; Tamanan,Kab; bondowoso</v>
      </c>
      <c r="L286" s="16" t="str">
        <f>Sheet1!L341</f>
        <v>Moh. Hosnan</v>
      </c>
      <c r="M286" s="16" t="str">
        <f>Sheet1!M341</f>
        <v>Sri Heni Astutik</v>
      </c>
      <c r="N286" s="16" t="str">
        <f ca="1">Sheet1!N341</f>
        <v>22 Tahun, 5 Bulan, 8 Hari</v>
      </c>
      <c r="O286" s="16"/>
      <c r="P286" s="16"/>
    </row>
    <row r="287" spans="1:16" ht="20.100000000000001" customHeight="1" x14ac:dyDescent="0.25">
      <c r="A287" s="13">
        <f>Sheet1!A342</f>
        <v>341</v>
      </c>
      <c r="B287" s="14">
        <v>47</v>
      </c>
      <c r="C287" s="16">
        <f>Sheet1!C342</f>
        <v>0</v>
      </c>
      <c r="D287" s="14" t="str">
        <f>Sheet1!D342</f>
        <v>3A</v>
      </c>
      <c r="E287" s="14" t="str">
        <f>Sheet1!E342</f>
        <v>Ulya</v>
      </c>
      <c r="F287" s="16">
        <f>Sheet1!F342</f>
        <v>1420</v>
      </c>
      <c r="G287" s="16" t="str">
        <f>Sheet1!G342</f>
        <v>Muhammadil Jawad</v>
      </c>
      <c r="H287" s="15" t="str">
        <f>Sheet1!H342</f>
        <v>Bondowoso,</v>
      </c>
      <c r="I287" s="17" t="str">
        <f>Sheet1!I342</f>
        <v>28 Desember 2000</v>
      </c>
      <c r="J287" s="14" t="str">
        <f>Sheet1!J342</f>
        <v>M</v>
      </c>
      <c r="K287" s="16" t="str">
        <f>Sheet1!K342</f>
        <v>Blok Pesantren  Rt. 018 Rw.007 Sbr Kalong Wonosari Bondowoso</v>
      </c>
      <c r="L287" s="16" t="str">
        <f>Sheet1!L342</f>
        <v>Muhammad Hodri</v>
      </c>
      <c r="M287" s="16" t="str">
        <f>Sheet1!M342</f>
        <v>Rismatul Hasanah</v>
      </c>
      <c r="N287" s="16" t="str">
        <f ca="1">Sheet1!N342</f>
        <v>23 Tahun, 11 Bulan, 23 Hari</v>
      </c>
      <c r="O287" s="16"/>
      <c r="P287" s="16"/>
    </row>
    <row r="288" spans="1:16" ht="20.100000000000001" customHeight="1" x14ac:dyDescent="0.25">
      <c r="A288" s="13">
        <f>Sheet1!A343</f>
        <v>342</v>
      </c>
      <c r="B288" s="14">
        <v>48</v>
      </c>
      <c r="C288" s="16">
        <f>Sheet1!C343</f>
        <v>0</v>
      </c>
      <c r="D288" s="14" t="str">
        <f>Sheet1!D343</f>
        <v>3A</v>
      </c>
      <c r="E288" s="14" t="str">
        <f>Sheet1!E343</f>
        <v>Ulya</v>
      </c>
      <c r="F288" s="16">
        <f>Sheet1!F343</f>
        <v>1375</v>
      </c>
      <c r="G288" s="16" t="str">
        <f>Sheet1!G343</f>
        <v>Ferdiyansah</v>
      </c>
      <c r="H288" s="15" t="str">
        <f>Sheet1!H343</f>
        <v>Jember</v>
      </c>
      <c r="I288" s="17" t="str">
        <f>Sheet1!I343</f>
        <v>06 Juli 2004</v>
      </c>
      <c r="J288" s="14" t="str">
        <f>Sheet1!J343</f>
        <v>M</v>
      </c>
      <c r="K288" s="16" t="str">
        <f>Sheet1!K343</f>
        <v>Dusun Sumber Tengah Rt 020/Rw 006 Desa Pocangan Kec. Sukowono Kab. Jember</v>
      </c>
      <c r="L288" s="16" t="str">
        <f>Sheet1!L343</f>
        <v>Saheri</v>
      </c>
      <c r="M288" s="16">
        <f>Sheet1!M343</f>
        <v>0</v>
      </c>
      <c r="N288" s="16" t="str">
        <f ca="1">Sheet1!N343</f>
        <v>20 Tahun, 5 Bulan, 15 Hari</v>
      </c>
      <c r="O288" s="16"/>
      <c r="P288" s="16"/>
    </row>
    <row r="289" spans="1:16" ht="20.100000000000001" customHeight="1" x14ac:dyDescent="0.25">
      <c r="A289" s="13">
        <f>Sheet1!A344</f>
        <v>343</v>
      </c>
      <c r="B289" s="14">
        <v>49</v>
      </c>
      <c r="C289" s="16">
        <f>Sheet1!C344</f>
        <v>0</v>
      </c>
      <c r="D289" s="14" t="str">
        <f>Sheet1!D344</f>
        <v>3A</v>
      </c>
      <c r="E289" s="14" t="str">
        <f>Sheet1!E344</f>
        <v>Ulya</v>
      </c>
      <c r="F289" s="16">
        <f>Sheet1!F344</f>
        <v>1382</v>
      </c>
      <c r="G289" s="16" t="str">
        <f>Sheet1!G344</f>
        <v>Moh. Lutfi</v>
      </c>
      <c r="H289" s="15" t="str">
        <f>Sheet1!H344</f>
        <v>Jember</v>
      </c>
      <c r="I289" s="17" t="str">
        <f>Sheet1!I344</f>
        <v>24 Maret 2003</v>
      </c>
      <c r="J289" s="14" t="str">
        <f>Sheet1!J344</f>
        <v>M</v>
      </c>
      <c r="K289" s="16" t="str">
        <f>Sheet1!K344</f>
        <v>Dusun Siwan Lor Rt 003/Rw 002 Desa Panduman Kec. Jelbuk Kab. Jember</v>
      </c>
      <c r="L289" s="16" t="str">
        <f>Sheet1!L344</f>
        <v>Sukron</v>
      </c>
      <c r="M289" s="16">
        <f>Sheet1!M344</f>
        <v>0</v>
      </c>
      <c r="N289" s="16" t="str">
        <f ca="1">Sheet1!N344</f>
        <v>21 Tahun, 8 Bulan, 27 Hari</v>
      </c>
      <c r="O289" s="16"/>
      <c r="P289" s="16"/>
    </row>
    <row r="290" spans="1:16" hidden="1" x14ac:dyDescent="0.25">
      <c r="A290" s="13">
        <f>Sheet1!A347</f>
        <v>346</v>
      </c>
      <c r="B290" s="14">
        <v>2</v>
      </c>
      <c r="C290" s="16">
        <f>Sheet1!C347</f>
        <v>0</v>
      </c>
      <c r="D290" s="14" t="str">
        <f>Sheet1!D347</f>
        <v>2B</v>
      </c>
      <c r="E290" s="14" t="str">
        <f>Sheet1!E347</f>
        <v>Ulya</v>
      </c>
      <c r="F290" s="16">
        <f>Sheet1!F347</f>
        <v>1537</v>
      </c>
      <c r="G290" s="16" t="str">
        <f>Sheet1!G347</f>
        <v>Farhan Mubarok</v>
      </c>
      <c r="H290" s="15" t="str">
        <f>Sheet1!H347</f>
        <v>Bondowoso</v>
      </c>
      <c r="I290" s="17" t="str">
        <f>Sheet1!I347</f>
        <v>05 Januari 2005</v>
      </c>
      <c r="J290" s="14" t="str">
        <f>Sheet1!J347</f>
        <v>N</v>
      </c>
      <c r="K290" s="16" t="str">
        <f>Sheet1!K347</f>
        <v>Sulek, 003/002, , Kec. Tlogosari, Kab. Bondowoso</v>
      </c>
      <c r="L290" s="16" t="str">
        <f>Sheet1!L347</f>
        <v>Soari</v>
      </c>
      <c r="M290" s="16" t="str">
        <f>Sheet1!M347</f>
        <v>Siti Fatima</v>
      </c>
      <c r="N290" s="16" t="str">
        <f ca="1">Sheet1!N347</f>
        <v>19 Tahun, 11 Bulan, 16 Hari</v>
      </c>
      <c r="O290" s="16"/>
      <c r="P290" s="16"/>
    </row>
    <row r="291" spans="1:16" hidden="1" x14ac:dyDescent="0.25">
      <c r="A291" s="13">
        <f>Sheet1!A348</f>
        <v>347</v>
      </c>
      <c r="B291" s="14">
        <v>3</v>
      </c>
      <c r="C291" s="16">
        <f>Sheet1!C348</f>
        <v>0</v>
      </c>
      <c r="D291" s="14">
        <f>Sheet1!D348</f>
        <v>1</v>
      </c>
      <c r="E291" s="14" t="str">
        <f>Sheet1!E348</f>
        <v>Ulya</v>
      </c>
      <c r="F291" s="16">
        <f>Sheet1!F348</f>
        <v>2116</v>
      </c>
      <c r="G291" s="16" t="str">
        <f>Sheet1!G348</f>
        <v>Ahmad Wafid</v>
      </c>
      <c r="H291" s="15" t="str">
        <f>Sheet1!H348</f>
        <v>Bondowoso</v>
      </c>
      <c r="I291" s="17" t="str">
        <f>Sheet1!I348</f>
        <v>03 Maret 2003</v>
      </c>
      <c r="J291" s="14" t="str">
        <f>Sheet1!J348</f>
        <v>N</v>
      </c>
      <c r="K291" s="16" t="str">
        <f>Sheet1!K348</f>
        <v>Tlogosari-tlogosari-bondowoso</v>
      </c>
      <c r="L291" s="16" t="str">
        <f>Sheet1!L348</f>
        <v>Krik</v>
      </c>
      <c r="M291" s="16" t="str">
        <f>Sheet1!M348</f>
        <v>Saada</v>
      </c>
      <c r="N291" s="16" t="str">
        <f ca="1">Sheet1!N348</f>
        <v>21 Tahun, 9 Bulan, 18 Hari</v>
      </c>
      <c r="O291" s="16"/>
      <c r="P291" s="16"/>
    </row>
    <row r="292" spans="1:16" hidden="1" x14ac:dyDescent="0.25">
      <c r="A292" s="13">
        <f>Sheet1!A349</f>
        <v>348</v>
      </c>
      <c r="B292" s="14">
        <v>4</v>
      </c>
      <c r="C292" s="16">
        <f>Sheet1!C349</f>
        <v>0</v>
      </c>
      <c r="D292" s="14">
        <f>Sheet1!D349</f>
        <v>1</v>
      </c>
      <c r="E292" s="14" t="str">
        <f>Sheet1!E349</f>
        <v>Ulya</v>
      </c>
      <c r="F292" s="16">
        <f>Sheet1!F349</f>
        <v>2341</v>
      </c>
      <c r="G292" s="16" t="str">
        <f>Sheet1!G349</f>
        <v xml:space="preserve">Ahmad Syaifi Hamdani </v>
      </c>
      <c r="H292" s="15" t="str">
        <f>Sheet1!H349</f>
        <v xml:space="preserve">Bondowoso </v>
      </c>
      <c r="I292" s="17">
        <f>Sheet1!I349</f>
        <v>38500</v>
      </c>
      <c r="J292" s="14" t="str">
        <f>Sheet1!J349</f>
        <v>N</v>
      </c>
      <c r="K292" s="16" t="str">
        <f>Sheet1!K349</f>
        <v>KALIANYAR</v>
      </c>
      <c r="L292" s="16" t="str">
        <f>Sheet1!L349</f>
        <v>M. Adi</v>
      </c>
      <c r="M292" s="16" t="str">
        <f>Sheet1!M349</f>
        <v>Maisara</v>
      </c>
      <c r="N292" s="16" t="str">
        <f ca="1">Sheet1!N349</f>
        <v>19 Tahun, 6 Bulan, 23 Hari</v>
      </c>
      <c r="O292" s="16"/>
      <c r="P292" s="16"/>
    </row>
    <row r="293" spans="1:16" hidden="1" x14ac:dyDescent="0.25">
      <c r="A293" s="13">
        <f>Sheet1!A350</f>
        <v>349</v>
      </c>
      <c r="B293" s="14">
        <v>5</v>
      </c>
      <c r="C293" s="16" t="str">
        <f>Sheet1!C350</f>
        <v>-</v>
      </c>
      <c r="D293" s="14" t="str">
        <f>Sheet1!D350</f>
        <v>3C</v>
      </c>
      <c r="E293" s="14" t="str">
        <f>Sheet1!E350</f>
        <v>Wustha</v>
      </c>
      <c r="F293" s="16">
        <f>Sheet1!F350</f>
        <v>2783</v>
      </c>
      <c r="G293" s="16" t="str">
        <f>Sheet1!G350</f>
        <v>Zaenal Abidin</v>
      </c>
      <c r="H293" s="15" t="str">
        <f>Sheet1!H350</f>
        <v>Bondowoso</v>
      </c>
      <c r="I293" s="17">
        <f>Sheet1!I350</f>
        <v>39089</v>
      </c>
      <c r="J293" s="14" t="str">
        <f>Sheet1!J350</f>
        <v>N</v>
      </c>
      <c r="K293" s="16" t="str">
        <f>Sheet1!K350</f>
        <v>Tlogosari-Tlogosari-Bondwoso</v>
      </c>
      <c r="L293" s="16" t="str">
        <f>Sheet1!L350</f>
        <v>Mahik</v>
      </c>
      <c r="M293" s="16" t="str">
        <f>Sheet1!M350</f>
        <v>Raudah</v>
      </c>
      <c r="N293" s="16" t="str">
        <f ca="1">Sheet1!N350</f>
        <v>17 Tahun, 11 Bulan, 14 Hari</v>
      </c>
      <c r="O293" s="16"/>
      <c r="P293" s="16"/>
    </row>
    <row r="294" spans="1:16" hidden="1" x14ac:dyDescent="0.25">
      <c r="A294" s="13">
        <f>Sheet1!A351</f>
        <v>350</v>
      </c>
      <c r="B294" s="14">
        <v>6</v>
      </c>
      <c r="C294" s="16">
        <f>Sheet1!C351</f>
        <v>0</v>
      </c>
      <c r="D294" s="14" t="str">
        <f>Sheet1!D351</f>
        <v>2D</v>
      </c>
      <c r="E294" s="14" t="str">
        <f>Sheet1!E351</f>
        <v>Wustha</v>
      </c>
      <c r="F294" s="16">
        <f>Sheet1!F351</f>
        <v>3604</v>
      </c>
      <c r="G294" s="16" t="str">
        <f>Sheet1!G351</f>
        <v>Muhammad Alfan Zainul Hasan</v>
      </c>
      <c r="H294" s="15" t="str">
        <f>Sheet1!H351</f>
        <v>Bondowoso</v>
      </c>
      <c r="I294" s="17" t="str">
        <f>Sheet1!I351</f>
        <v>21 September2007</v>
      </c>
      <c r="J294" s="14" t="str">
        <f>Sheet1!J351</f>
        <v>N</v>
      </c>
      <c r="K294" s="16" t="str">
        <f>Sheet1!K351</f>
        <v>Gabugan 010/002 Jambesari-Jambesari Darus Sholah-Bondowoso</v>
      </c>
      <c r="L294" s="16" t="str">
        <f>Sheet1!L351</f>
        <v>Yudi Halil</v>
      </c>
      <c r="M294" s="16" t="str">
        <f>Sheet1!M351</f>
        <v>Mutmainnah</v>
      </c>
      <c r="N294" s="16" t="str">
        <f ca="1">Sheet1!N351</f>
        <v>17 Tahun, 3 Bulan, 0 Hari</v>
      </c>
      <c r="O294" s="16"/>
      <c r="P294" s="16"/>
    </row>
    <row r="295" spans="1:16" hidden="1" x14ac:dyDescent="0.25">
      <c r="A295" s="13">
        <f>Sheet1!A352</f>
        <v>351</v>
      </c>
      <c r="B295" s="14">
        <v>7</v>
      </c>
      <c r="C295" s="16" t="str">
        <f>Sheet1!C352</f>
        <v>-</v>
      </c>
      <c r="D295" s="14" t="str">
        <f>Sheet1!D352</f>
        <v>3C</v>
      </c>
      <c r="E295" s="14" t="str">
        <f>Sheet1!E352</f>
        <v>Wustha</v>
      </c>
      <c r="F295" s="16">
        <f>Sheet1!F352</f>
        <v>2867</v>
      </c>
      <c r="G295" s="16" t="str">
        <f>Sheet1!G352</f>
        <v>M. Ciptadi</v>
      </c>
      <c r="H295" s="15" t="str">
        <f>Sheet1!H352</f>
        <v>Bondowoso</v>
      </c>
      <c r="I295" s="17">
        <f>Sheet1!I352</f>
        <v>38546</v>
      </c>
      <c r="J295" s="14" t="str">
        <f>Sheet1!J352</f>
        <v>N</v>
      </c>
      <c r="K295" s="16" t="str">
        <f>Sheet1!K352</f>
        <v>Pringgondani-Sumber Jambe-Jember</v>
      </c>
      <c r="L295" s="16" t="str">
        <f>Sheet1!L352</f>
        <v>Salamed</v>
      </c>
      <c r="M295" s="16" t="str">
        <f>Sheet1!M352</f>
        <v>Titin</v>
      </c>
      <c r="N295" s="16" t="str">
        <f ca="1">Sheet1!N352</f>
        <v>19 Tahun, 5 Bulan, 8 Hari</v>
      </c>
      <c r="O295" s="16"/>
      <c r="P295" s="16"/>
    </row>
    <row r="296" spans="1:16" hidden="1" x14ac:dyDescent="0.25">
      <c r="A296" s="13">
        <f>Sheet1!A353</f>
        <v>352</v>
      </c>
      <c r="B296" s="14">
        <v>8</v>
      </c>
      <c r="C296" s="16">
        <f>Sheet1!C353</f>
        <v>0</v>
      </c>
      <c r="D296" s="14" t="str">
        <f>Sheet1!D353</f>
        <v>2A</v>
      </c>
      <c r="E296" s="14" t="str">
        <f>Sheet1!E353</f>
        <v>Ulya</v>
      </c>
      <c r="F296" s="16">
        <f>Sheet1!F353</f>
        <v>1567</v>
      </c>
      <c r="G296" s="16" t="str">
        <f>Sheet1!G353</f>
        <v>Mohammad Sulaiman</v>
      </c>
      <c r="H296" s="15" t="str">
        <f>Sheet1!H353</f>
        <v>Bondowoso</v>
      </c>
      <c r="I296" s="17">
        <f>Sheet1!I353</f>
        <v>37684</v>
      </c>
      <c r="J296" s="14" t="str">
        <f>Sheet1!J353</f>
        <v xml:space="preserve">N </v>
      </c>
      <c r="K296" s="16" t="str">
        <f>Sheet1!K353</f>
        <v xml:space="preserve">Tegal Jati Sumberwringin bondowoso, , , , </v>
      </c>
      <c r="L296" s="16" t="str">
        <f>Sheet1!L353</f>
        <v>Hasyim</v>
      </c>
      <c r="M296" s="16" t="str">
        <f>Sheet1!M353</f>
        <v>Nuraini</v>
      </c>
      <c r="N296" s="16" t="str">
        <f ca="1">Sheet1!N353</f>
        <v>21 Tahun, 9 Bulan, 17 Hari</v>
      </c>
      <c r="O296" s="16"/>
      <c r="P296" s="16"/>
    </row>
    <row r="297" spans="1:16" hidden="1" x14ac:dyDescent="0.25">
      <c r="A297" s="13">
        <f>Sheet1!A354</f>
        <v>353</v>
      </c>
      <c r="B297" s="14">
        <v>9</v>
      </c>
      <c r="C297" s="16">
        <f>Sheet1!C354</f>
        <v>0</v>
      </c>
      <c r="D297" s="14" t="str">
        <f>Sheet1!D354</f>
        <v>1D</v>
      </c>
      <c r="E297" s="14" t="str">
        <f>Sheet1!E354</f>
        <v>Wustha</v>
      </c>
      <c r="F297" s="16">
        <f>Sheet1!F354</f>
        <v>3726</v>
      </c>
      <c r="G297" s="16" t="str">
        <f>Sheet1!G354</f>
        <v>Moch. Aqil Ali Febrian</v>
      </c>
      <c r="H297" s="15" t="str">
        <f>Sheet1!H354</f>
        <v>Bondowoso</v>
      </c>
      <c r="I297" s="17" t="str">
        <f>Sheet1!I354</f>
        <v>22 FEBRUARI 2007</v>
      </c>
      <c r="J297" s="14" t="s">
        <v>87</v>
      </c>
      <c r="K297" s="16" t="str">
        <f>Sheet1!K354</f>
        <v>Jebung Kidul 003/- -Jebung Kidul Tlogosari -Bondowoso</v>
      </c>
      <c r="L297" s="16" t="str">
        <f>Sheet1!L354</f>
        <v>Moh. Hasan</v>
      </c>
      <c r="M297" s="16" t="str">
        <f>Sheet1!M354</f>
        <v>Sukrimah</v>
      </c>
      <c r="N297" s="16" t="str">
        <f ca="1">Sheet1!N354</f>
        <v>17 Tahun, 9 Bulan, 29 Hari</v>
      </c>
      <c r="O297" s="16"/>
      <c r="P297" s="16"/>
    </row>
  </sheetData>
  <autoFilter ref="A3:N297" xr:uid="{BD46FD0D-8098-4C99-A118-B93250B35E56}">
    <filterColumn colId="9">
      <filters>
        <filter val="M"/>
      </filters>
    </filterColumn>
    <sortState xmlns:xlrd2="http://schemas.microsoft.com/office/spreadsheetml/2017/richdata2" ref="A4:N297">
      <sortCondition ref="J3:J297"/>
    </sortState>
  </autoFilter>
  <mergeCells count="1">
    <mergeCell ref="B1:P1"/>
  </mergeCells>
  <printOptions horizontalCentered="1"/>
  <pageMargins left="0" right="0" top="0.39370078740157483" bottom="0" header="0.31496062992125984" footer="0"/>
  <pageSetup paperSize="10000" scale="75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488E6-6524-472D-AB33-EC392438F67F}">
  <sheetPr codeName="Sheet4" filterMode="1"/>
  <dimension ref="A1:P65"/>
  <sheetViews>
    <sheetView topLeftCell="B1" workbookViewId="0">
      <pane xSplit="6" ySplit="6" topLeftCell="J12" activePane="bottomRight" state="frozen"/>
      <selection activeCell="B1" sqref="B1"/>
      <selection pane="topRight" activeCell="H1" sqref="H1"/>
      <selection pane="bottomLeft" activeCell="B7" sqref="B7"/>
      <selection pane="bottomRight" activeCell="K60" sqref="K60"/>
    </sheetView>
  </sheetViews>
  <sheetFormatPr defaultRowHeight="15" x14ac:dyDescent="0.25"/>
  <cols>
    <col min="1" max="1" width="7.85546875" style="9" hidden="1" customWidth="1"/>
    <col min="2" max="2" width="3.85546875" style="10" customWidth="1"/>
    <col min="3" max="3" width="7.140625" style="9" hidden="1" customWidth="1"/>
    <col min="4" max="4" width="5.42578125" style="10" customWidth="1"/>
    <col min="5" max="5" width="8.28515625" style="10" customWidth="1"/>
    <col min="6" max="6" width="0.42578125" style="9" hidden="1" customWidth="1"/>
    <col min="7" max="7" width="25.85546875" style="9" bestFit="1" customWidth="1"/>
    <col min="8" max="8" width="10.7109375" style="11" customWidth="1"/>
    <col min="9" max="9" width="18" style="11" bestFit="1" customWidth="1"/>
    <col min="10" max="10" width="8.28515625" style="10" bestFit="1" customWidth="1"/>
    <col min="11" max="11" width="80.140625" style="9" customWidth="1"/>
    <col min="12" max="12" width="28.140625" style="9" hidden="1" customWidth="1"/>
    <col min="13" max="13" width="20.42578125" style="9" hidden="1" customWidth="1"/>
    <col min="14" max="14" width="25.85546875" style="9" bestFit="1" customWidth="1"/>
    <col min="15" max="16384" width="9.140625" style="9"/>
  </cols>
  <sheetData>
    <row r="1" spans="1:16" x14ac:dyDescent="0.25">
      <c r="B1" s="90" t="s">
        <v>1581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</row>
    <row r="3" spans="1:16" s="10" customFormat="1" ht="20.100000000000001" customHeight="1" x14ac:dyDescent="0.25">
      <c r="A3" s="12" t="str">
        <f>Sheet1!A1</f>
        <v>No Urut</v>
      </c>
      <c r="B3" s="14" t="s">
        <v>1580</v>
      </c>
      <c r="C3" s="14">
        <f>Sheet1!C1</f>
        <v>0</v>
      </c>
      <c r="D3" s="14" t="str">
        <f>Sheet1!D1</f>
        <v>Kelas</v>
      </c>
      <c r="E3" s="14" t="str">
        <f>Sheet1!E1</f>
        <v>Lembaga</v>
      </c>
      <c r="F3" s="14" t="str">
        <f>Sheet1!F1</f>
        <v>Nomor Induk</v>
      </c>
      <c r="G3" s="14" t="str">
        <f>Sheet1!G1</f>
        <v>Nama</v>
      </c>
      <c r="H3" s="15" t="str">
        <f>Sheet1!H1</f>
        <v>Tempat Lahir</v>
      </c>
      <c r="I3" s="14" t="str">
        <f>Sheet1!I1</f>
        <v>Tanggal Lahir</v>
      </c>
      <c r="J3" s="14" t="str">
        <f>Sheet1!J1</f>
        <v>Domisili</v>
      </c>
      <c r="K3" s="14" t="str">
        <f>Sheet1!K1</f>
        <v>Alamat Lengkap</v>
      </c>
      <c r="L3" s="14" t="str">
        <f>Sheet1!L1</f>
        <v>Nama Orang Tua</v>
      </c>
      <c r="M3" s="14">
        <f>Sheet1!M1</f>
        <v>0</v>
      </c>
      <c r="N3" s="14" t="str">
        <f>Sheet1!N1</f>
        <v>Umur</v>
      </c>
      <c r="O3" s="14" t="s">
        <v>1578</v>
      </c>
      <c r="P3" s="14" t="s">
        <v>1579</v>
      </c>
    </row>
    <row r="4" spans="1:16" ht="18" customHeight="1" x14ac:dyDescent="0.25">
      <c r="A4" s="12">
        <v>1</v>
      </c>
      <c r="B4" s="14">
        <v>1</v>
      </c>
      <c r="C4" s="16">
        <f>Sheet1!C355</f>
        <v>0</v>
      </c>
      <c r="D4" s="14">
        <f>Sheet1!D355</f>
        <v>3</v>
      </c>
      <c r="E4" s="14" t="str">
        <f>Sheet1!E355</f>
        <v>ulya</v>
      </c>
      <c r="F4" s="16">
        <f>Sheet1!F355</f>
        <v>0</v>
      </c>
      <c r="G4" s="16" t="str">
        <f>Sheet1!G355</f>
        <v>Afifil Hak</v>
      </c>
      <c r="H4" s="15">
        <f>Sheet1!H355</f>
        <v>0</v>
      </c>
      <c r="I4" s="17">
        <f>Sheet1!I355</f>
        <v>0</v>
      </c>
      <c r="J4" s="14">
        <f>Sheet1!J355</f>
        <v>0</v>
      </c>
      <c r="K4" s="16">
        <f>Sheet1!K355</f>
        <v>0</v>
      </c>
      <c r="L4" s="16">
        <f>Sheet1!L355</f>
        <v>0</v>
      </c>
      <c r="M4" s="16">
        <f>Sheet1!M355</f>
        <v>0</v>
      </c>
      <c r="N4" s="16" t="str">
        <f ca="1">Sheet1!N355</f>
        <v>124 Tahun, 11 Bulan, 21 Hari</v>
      </c>
      <c r="O4" s="16"/>
      <c r="P4" s="16"/>
    </row>
    <row r="5" spans="1:16" ht="18" customHeight="1" x14ac:dyDescent="0.25">
      <c r="A5" s="12">
        <v>2</v>
      </c>
      <c r="B5" s="14">
        <v>2</v>
      </c>
      <c r="C5" s="16">
        <f>Sheet1!C356</f>
        <v>0</v>
      </c>
      <c r="D5" s="14">
        <f>Sheet1!D356</f>
        <v>3</v>
      </c>
      <c r="E5" s="14" t="str">
        <f>Sheet1!E356</f>
        <v>ulya</v>
      </c>
      <c r="F5" s="16">
        <f>Sheet1!F356</f>
        <v>0</v>
      </c>
      <c r="G5" s="16" t="str">
        <f>Sheet1!G356</f>
        <v>Miftahus Surur</v>
      </c>
      <c r="H5" s="15">
        <f>Sheet1!H356</f>
        <v>0</v>
      </c>
      <c r="I5" s="17">
        <f>Sheet1!I356</f>
        <v>0</v>
      </c>
      <c r="J5" s="14">
        <f>Sheet1!J356</f>
        <v>0</v>
      </c>
      <c r="K5" s="16">
        <f>Sheet1!K356</f>
        <v>0</v>
      </c>
      <c r="L5" s="16">
        <f>Sheet1!L356</f>
        <v>0</v>
      </c>
      <c r="M5" s="16">
        <f>Sheet1!M356</f>
        <v>0</v>
      </c>
      <c r="N5" s="16" t="str">
        <f ca="1">Sheet1!N356</f>
        <v>124 Tahun, 11 Bulan, 21 Hari</v>
      </c>
      <c r="O5" s="16"/>
      <c r="P5" s="16"/>
    </row>
    <row r="6" spans="1:16" ht="18" customHeight="1" x14ac:dyDescent="0.25">
      <c r="A6" s="12">
        <v>3</v>
      </c>
      <c r="B6" s="14">
        <v>3</v>
      </c>
      <c r="C6" s="16">
        <f>Sheet1!C357</f>
        <v>0</v>
      </c>
      <c r="D6" s="14">
        <f>Sheet1!D357</f>
        <v>3</v>
      </c>
      <c r="E6" s="14" t="str">
        <f>Sheet1!E357</f>
        <v>ulya</v>
      </c>
      <c r="F6" s="16">
        <f>Sheet1!F357</f>
        <v>0</v>
      </c>
      <c r="G6" s="16" t="str">
        <f>Sheet1!G357</f>
        <v>Nailul Khoir</v>
      </c>
      <c r="H6" s="15">
        <f>Sheet1!H357</f>
        <v>0</v>
      </c>
      <c r="I6" s="17">
        <f>Sheet1!I357</f>
        <v>0</v>
      </c>
      <c r="J6" s="14">
        <f>Sheet1!J357</f>
        <v>0</v>
      </c>
      <c r="K6" s="16">
        <f>Sheet1!K357</f>
        <v>0</v>
      </c>
      <c r="L6" s="16">
        <f>Sheet1!L357</f>
        <v>0</v>
      </c>
      <c r="M6" s="16">
        <f>Sheet1!M357</f>
        <v>0</v>
      </c>
      <c r="N6" s="16" t="str">
        <f ca="1">Sheet1!N357</f>
        <v>124 Tahun, 11 Bulan, 21 Hari</v>
      </c>
      <c r="O6" s="16"/>
      <c r="P6" s="16"/>
    </row>
    <row r="7" spans="1:16" ht="18" hidden="1" customHeight="1" x14ac:dyDescent="0.25">
      <c r="A7" s="12">
        <v>4</v>
      </c>
      <c r="B7" s="14">
        <v>4</v>
      </c>
      <c r="C7" s="16">
        <f>Sheet1!C9</f>
        <v>0</v>
      </c>
      <c r="D7" s="14" t="str">
        <f>Sheet1!D9</f>
        <v>2C</v>
      </c>
      <c r="E7" s="14" t="str">
        <f>Sheet1!E9</f>
        <v>Ulya</v>
      </c>
      <c r="F7" s="16">
        <f>Sheet1!F9</f>
        <v>1574</v>
      </c>
      <c r="G7" s="16" t="str">
        <f>Sheet1!G9</f>
        <v>Muhammad Fahmi</v>
      </c>
      <c r="H7" s="15" t="str">
        <f>Sheet1!H9</f>
        <v>Bondowoso</v>
      </c>
      <c r="I7" s="17" t="str">
        <f>Sheet1!I9</f>
        <v>25 Desember 2005</v>
      </c>
      <c r="J7" s="14" t="str">
        <f>Sheet1!J9</f>
        <v>A 03</v>
      </c>
      <c r="K7" s="16" t="str">
        <f>Sheet1!K9</f>
        <v xml:space="preserve">Tegal Mijin, Rt 007 / Rw 002, Kec.Grujugan, Kab.Bondowoso, </v>
      </c>
      <c r="L7" s="16" t="str">
        <f>Sheet1!L9</f>
        <v>Asin</v>
      </c>
      <c r="M7" s="16" t="str">
        <f>Sheet1!M9</f>
        <v>Sunariyah</v>
      </c>
      <c r="N7" s="16" t="str">
        <f ca="1">Sheet1!N9</f>
        <v>18 Tahun, 11 Bulan, 26 Hari</v>
      </c>
      <c r="O7" s="16"/>
      <c r="P7" s="16"/>
    </row>
    <row r="8" spans="1:16" ht="18" hidden="1" customHeight="1" x14ac:dyDescent="0.25">
      <c r="A8" s="12">
        <v>12</v>
      </c>
      <c r="B8" s="14">
        <v>12</v>
      </c>
      <c r="C8" s="16">
        <f>Sheet1!C32</f>
        <v>0</v>
      </c>
      <c r="D8" s="14" t="str">
        <f>Sheet1!D32</f>
        <v>6C</v>
      </c>
      <c r="E8" s="14" t="str">
        <f>Sheet1!E32</f>
        <v>Ula</v>
      </c>
      <c r="F8" s="16">
        <f>Sheet1!F32</f>
        <v>3016</v>
      </c>
      <c r="G8" s="16" t="str">
        <f>Sheet1!G32</f>
        <v>Ahmad Shohibul Fadil</v>
      </c>
      <c r="H8" s="15" t="str">
        <f>Sheet1!H32</f>
        <v>Bondowoso,</v>
      </c>
      <c r="I8" s="17">
        <f>Sheet1!I32</f>
        <v>39017</v>
      </c>
      <c r="J8" s="14" t="str">
        <f>Sheet1!J32</f>
        <v>A 08</v>
      </c>
      <c r="K8" s="16" t="str">
        <f>Sheet1!K32</f>
        <v>Maskuning Wetan 015/004 Maskuning Wetan Pujer Bondowoso Jawa Timur</v>
      </c>
      <c r="L8" s="16" t="str">
        <f>Sheet1!L32</f>
        <v>Sukarwi</v>
      </c>
      <c r="M8" s="16" t="str">
        <f>Sheet1!M32</f>
        <v>Nur Asiseh</v>
      </c>
      <c r="N8" s="16" t="str">
        <f ca="1">Sheet1!N32</f>
        <v>18 Tahun, 1 Bulan, 24 Hari</v>
      </c>
      <c r="O8" s="16"/>
      <c r="P8" s="16"/>
    </row>
    <row r="9" spans="1:16" ht="18" hidden="1" customHeight="1" x14ac:dyDescent="0.25">
      <c r="A9" s="12">
        <v>20</v>
      </c>
      <c r="B9" s="14">
        <v>20</v>
      </c>
      <c r="C9" s="16">
        <f>Sheet1!C57</f>
        <v>0</v>
      </c>
      <c r="D9" s="14" t="str">
        <f>Sheet1!D57</f>
        <v>2A</v>
      </c>
      <c r="E9" s="14" t="str">
        <f>Sheet1!E57</f>
        <v>Ulya</v>
      </c>
      <c r="F9" s="16">
        <f>Sheet1!F57</f>
        <v>0</v>
      </c>
      <c r="G9" s="16" t="str">
        <f>Sheet1!G57</f>
        <v>Nurul Yakin</v>
      </c>
      <c r="H9" s="15">
        <f>Sheet1!H57</f>
        <v>0</v>
      </c>
      <c r="I9" s="17">
        <f>Sheet1!I57</f>
        <v>0</v>
      </c>
      <c r="J9" s="14" t="str">
        <f>Sheet1!J57</f>
        <v>A 12</v>
      </c>
      <c r="K9" s="16" t="str">
        <f>Sheet1!K57</f>
        <v xml:space="preserve">, , , , </v>
      </c>
      <c r="L9" s="16" t="str">
        <f>Sheet1!L57</f>
        <v>mohammad Jamhuri</v>
      </c>
      <c r="M9" s="16" t="str">
        <f>Sheet1!M57</f>
        <v>Sitti Aisyah</v>
      </c>
      <c r="N9" s="16" t="str">
        <f ca="1">Sheet1!N57</f>
        <v>124 Tahun, 11 Bulan, 21 Hari</v>
      </c>
      <c r="O9" s="16"/>
      <c r="P9" s="16"/>
    </row>
    <row r="10" spans="1:16" ht="18" hidden="1" customHeight="1" x14ac:dyDescent="0.25">
      <c r="A10" s="12">
        <v>47</v>
      </c>
      <c r="B10" s="14">
        <v>21</v>
      </c>
      <c r="C10" s="16">
        <f>Sheet1!C233</f>
        <v>0</v>
      </c>
      <c r="D10" s="14" t="str">
        <f>Sheet1!D233</f>
        <v>2C</v>
      </c>
      <c r="E10" s="14" t="str">
        <f>Sheet1!E233</f>
        <v>Ulya</v>
      </c>
      <c r="F10" s="16">
        <f>Sheet1!F233</f>
        <v>0</v>
      </c>
      <c r="G10" s="16" t="str">
        <f>Sheet1!G233</f>
        <v>M. Alfin Rosyid</v>
      </c>
      <c r="H10" s="15">
        <f>Sheet1!H233</f>
        <v>0</v>
      </c>
      <c r="I10" s="17">
        <f>Sheet1!I233</f>
        <v>0</v>
      </c>
      <c r="J10" s="14" t="str">
        <f>Sheet1!J233</f>
        <v>C 14</v>
      </c>
      <c r="K10" s="16">
        <f>Sheet1!K233</f>
        <v>0</v>
      </c>
      <c r="L10" s="16" t="str">
        <f>Sheet1!L233</f>
        <v>Mochammad Nawawi</v>
      </c>
      <c r="M10" s="16" t="str">
        <f>Sheet1!M233</f>
        <v>Faiqatul Himmah</v>
      </c>
      <c r="N10" s="16" t="str">
        <f ca="1">Sheet1!N233</f>
        <v>124 Tahun, 11 Bulan, 21 Hari</v>
      </c>
      <c r="O10" s="16"/>
      <c r="P10" s="16"/>
    </row>
    <row r="11" spans="1:16" ht="18" hidden="1" customHeight="1" x14ac:dyDescent="0.25">
      <c r="A11" s="12">
        <v>51</v>
      </c>
      <c r="B11" s="14">
        <v>5</v>
      </c>
      <c r="C11" s="16">
        <f>Sheet1!C265</f>
        <v>0</v>
      </c>
      <c r="D11" s="14" t="str">
        <f>Sheet1!D265</f>
        <v>2B</v>
      </c>
      <c r="E11" s="14" t="str">
        <f>Sheet1!E265</f>
        <v>Ulya</v>
      </c>
      <c r="F11" s="16">
        <f>Sheet1!F265</f>
        <v>0</v>
      </c>
      <c r="G11" s="16" t="str">
        <f>Sheet1!G265</f>
        <v>Moch Dimas Rurah</v>
      </c>
      <c r="H11" s="15">
        <f>Sheet1!H265</f>
        <v>0</v>
      </c>
      <c r="I11" s="17">
        <f>Sheet1!I265</f>
        <v>0</v>
      </c>
      <c r="J11" s="14" t="str">
        <f>Sheet1!J265</f>
        <v>D 06</v>
      </c>
      <c r="K11" s="16" t="str">
        <f>Sheet1!K265</f>
        <v xml:space="preserve">, , , , </v>
      </c>
      <c r="L11" s="16" t="str">
        <f>Sheet1!L265</f>
        <v>Hafid</v>
      </c>
      <c r="M11" s="16" t="str">
        <f>Sheet1!M265</f>
        <v>Rugak</v>
      </c>
      <c r="N11" s="16" t="str">
        <f ca="1">Sheet1!N265</f>
        <v>124 Tahun, 11 Bulan, 21 Hari</v>
      </c>
      <c r="O11" s="16"/>
      <c r="P11" s="16"/>
    </row>
    <row r="12" spans="1:16" ht="18" customHeight="1" x14ac:dyDescent="0.25">
      <c r="A12" s="12">
        <v>59</v>
      </c>
      <c r="B12" s="14">
        <v>4</v>
      </c>
      <c r="C12" s="16" t="str">
        <f>Sheet1!C292</f>
        <v>1 SMA</v>
      </c>
      <c r="D12" s="14" t="str">
        <f>Sheet1!D292</f>
        <v>1C</v>
      </c>
      <c r="E12" s="14" t="str">
        <f>Sheet1!E292</f>
        <v>Wustha</v>
      </c>
      <c r="F12" s="16">
        <f>Sheet1!F292</f>
        <v>3934</v>
      </c>
      <c r="G12" s="16" t="str">
        <f>Sheet1!G292</f>
        <v>Zaiful Rizal</v>
      </c>
      <c r="H12" s="15">
        <f>Sheet1!H292</f>
        <v>0</v>
      </c>
      <c r="I12" s="17">
        <f>Sheet1!I292</f>
        <v>0</v>
      </c>
      <c r="J12" s="14" t="str">
        <f>Sheet1!J292</f>
        <v>E 07</v>
      </c>
      <c r="K12" s="16">
        <f>Sheet1!K292</f>
        <v>0</v>
      </c>
      <c r="L12" s="16">
        <f>Sheet1!L292</f>
        <v>0</v>
      </c>
      <c r="M12" s="16">
        <f>Sheet1!M292</f>
        <v>0</v>
      </c>
      <c r="N12" s="16" t="str">
        <f ca="1">Sheet1!N292</f>
        <v>124 Tahun, 11 Bulan, 21 Hari</v>
      </c>
      <c r="O12" s="16"/>
      <c r="P12" s="16"/>
    </row>
    <row r="13" spans="1:16" ht="18" customHeight="1" x14ac:dyDescent="0.25">
      <c r="A13" s="12">
        <v>60</v>
      </c>
      <c r="B13" s="14">
        <v>4</v>
      </c>
      <c r="C13" s="16">
        <f>Sheet1!C296</f>
        <v>0</v>
      </c>
      <c r="D13" s="14" t="str">
        <f>Sheet1!D296</f>
        <v>2B</v>
      </c>
      <c r="E13" s="14" t="str">
        <f>Sheet1!E296</f>
        <v>Ulya</v>
      </c>
      <c r="F13" s="16">
        <f>Sheet1!F296</f>
        <v>0</v>
      </c>
      <c r="G13" s="16" t="str">
        <f>Sheet1!G296</f>
        <v>M. Ghufron Mukhtarullah</v>
      </c>
      <c r="H13" s="15">
        <f>Sheet1!H296</f>
        <v>0</v>
      </c>
      <c r="I13" s="17">
        <f>Sheet1!I296</f>
        <v>0</v>
      </c>
      <c r="J13" s="14" t="str">
        <f>Sheet1!J296</f>
        <v>M</v>
      </c>
      <c r="K13" s="16" t="str">
        <f>Sheet1!K296</f>
        <v xml:space="preserve">, , , , </v>
      </c>
      <c r="L13" s="16" t="str">
        <f>Sheet1!L296</f>
        <v>Marsudi</v>
      </c>
      <c r="M13" s="16" t="str">
        <f>Sheet1!M296</f>
        <v>Suminah</v>
      </c>
      <c r="N13" s="16" t="str">
        <f ca="1">Sheet1!N296</f>
        <v>124 Tahun, 11 Bulan, 21 Hari</v>
      </c>
      <c r="O13" s="16"/>
      <c r="P13" s="16"/>
    </row>
    <row r="14" spans="1:16" ht="18" hidden="1" customHeight="1" x14ac:dyDescent="0.25">
      <c r="A14" s="12">
        <v>43</v>
      </c>
      <c r="B14" s="14">
        <v>17</v>
      </c>
      <c r="C14" s="16">
        <f>Sheet1!C222</f>
        <v>0</v>
      </c>
      <c r="D14" s="14" t="str">
        <f>Sheet1!D222</f>
        <v>2B</v>
      </c>
      <c r="E14" s="14" t="str">
        <f>Sheet1!E222</f>
        <v>Ulya</v>
      </c>
      <c r="F14" s="16">
        <f>Sheet1!F222</f>
        <v>1607</v>
      </c>
      <c r="G14" s="16" t="str">
        <f>Sheet1!G222</f>
        <v>Rosidi</v>
      </c>
      <c r="H14" s="15" t="str">
        <f>Sheet1!H222</f>
        <v>Jember</v>
      </c>
      <c r="I14" s="17" t="str">
        <f>Sheet1!I222</f>
        <v>10 November 2005</v>
      </c>
      <c r="J14" s="14" t="str">
        <f>Sheet1!J222</f>
        <v>C 09</v>
      </c>
      <c r="K14" s="16" t="str">
        <f>Sheet1!K222</f>
        <v>Dusun Sumber Bubuh, Rt 002/Rw 016, Desa Sukosari, Kec. Sukowono, kab. Jember</v>
      </c>
      <c r="L14" s="16" t="str">
        <f>Sheet1!L222</f>
        <v>Farid</v>
      </c>
      <c r="M14" s="16" t="str">
        <f>Sheet1!M222</f>
        <v>Halimah</v>
      </c>
      <c r="N14" s="16" t="str">
        <f ca="1">Sheet1!N222</f>
        <v>19 Tahun, 1 Bulan, 11 Hari</v>
      </c>
      <c r="O14" s="16"/>
      <c r="P14" s="16"/>
    </row>
    <row r="15" spans="1:16" ht="18" hidden="1" customHeight="1" x14ac:dyDescent="0.25">
      <c r="A15" s="12">
        <v>5</v>
      </c>
      <c r="B15" s="14">
        <v>5</v>
      </c>
      <c r="C15" s="16">
        <f>Sheet1!C25</f>
        <v>0</v>
      </c>
      <c r="D15" s="14">
        <f>Sheet1!D25</f>
        <v>1</v>
      </c>
      <c r="E15" s="14" t="str">
        <f>Sheet1!E25</f>
        <v>Ulya</v>
      </c>
      <c r="F15" s="16">
        <f>Sheet1!F25</f>
        <v>2455</v>
      </c>
      <c r="G15" s="16" t="str">
        <f>Sheet1!G25</f>
        <v>Alfan Faizul Jalil</v>
      </c>
      <c r="H15" s="15" t="str">
        <f>Sheet1!H25</f>
        <v>Jember</v>
      </c>
      <c r="I15" s="17" t="str">
        <f>Sheet1!I25</f>
        <v>26 April 2007</v>
      </c>
      <c r="J15" s="14" t="str">
        <f>Sheet1!J25</f>
        <v>A 06</v>
      </c>
      <c r="K15" s="16" t="str">
        <f>Sheet1!K25</f>
        <v>Pringgondani-Sumber Jambe-Jember</v>
      </c>
      <c r="L15" s="16" t="str">
        <f>Sheet1!L25</f>
        <v>Achmad Fairuzi</v>
      </c>
      <c r="M15" s="16" t="str">
        <f>Sheet1!M25</f>
        <v>Ikayatus Sa'diyah</v>
      </c>
      <c r="N15" s="16" t="str">
        <f ca="1">Sheet1!N25</f>
        <v>17 Tahun, 7 Bulan, 25 Hari</v>
      </c>
      <c r="O15" s="16"/>
      <c r="P15" s="16"/>
    </row>
    <row r="16" spans="1:16" ht="18" hidden="1" customHeight="1" x14ac:dyDescent="0.25">
      <c r="A16" s="12">
        <v>6</v>
      </c>
      <c r="B16" s="14">
        <v>6</v>
      </c>
      <c r="C16" s="16">
        <f>Sheet1!C26</f>
        <v>0</v>
      </c>
      <c r="D16" s="14">
        <f>Sheet1!D26</f>
        <v>1</v>
      </c>
      <c r="E16" s="14" t="str">
        <f>Sheet1!E26</f>
        <v>Ulya</v>
      </c>
      <c r="F16" s="16">
        <f>Sheet1!F26</f>
        <v>2429</v>
      </c>
      <c r="G16" s="16" t="str">
        <f>Sheet1!G26</f>
        <v>Samsul Arifin</v>
      </c>
      <c r="H16" s="15" t="str">
        <f>Sheet1!H26</f>
        <v>Jember</v>
      </c>
      <c r="I16" s="17" t="str">
        <f>Sheet1!I26</f>
        <v>02 Des 2006</v>
      </c>
      <c r="J16" s="14" t="str">
        <f>Sheet1!J26</f>
        <v>A 07</v>
      </c>
      <c r="K16" s="16" t="str">
        <f>Sheet1!K26</f>
        <v>Cumedak-Sumber Jambe-jember</v>
      </c>
      <c r="L16" s="16" t="str">
        <f>Sheet1!L26</f>
        <v>Asmawi</v>
      </c>
      <c r="M16" s="16" t="str">
        <f>Sheet1!M26</f>
        <v>Toyana</v>
      </c>
      <c r="N16" s="16" t="str">
        <f ca="1">Sheet1!N26</f>
        <v>18 Tahun, 0 Bulan, 19 Hari</v>
      </c>
      <c r="O16" s="16"/>
      <c r="P16" s="16"/>
    </row>
    <row r="17" spans="1:16" ht="18" hidden="1" customHeight="1" x14ac:dyDescent="0.25">
      <c r="A17" s="12">
        <v>7</v>
      </c>
      <c r="B17" s="14">
        <v>7</v>
      </c>
      <c r="C17" s="16">
        <f>Sheet1!C27</f>
        <v>0</v>
      </c>
      <c r="D17" s="14">
        <f>Sheet1!D27</f>
        <v>1</v>
      </c>
      <c r="E17" s="14" t="str">
        <f>Sheet1!E27</f>
        <v>Ulya</v>
      </c>
      <c r="F17" s="16">
        <f>Sheet1!F27</f>
        <v>2512</v>
      </c>
      <c r="G17" s="16" t="str">
        <f>Sheet1!G27</f>
        <v>Candra Wahyudi</v>
      </c>
      <c r="H17" s="15" t="str">
        <f>Sheet1!H27</f>
        <v>Jember</v>
      </c>
      <c r="I17" s="17" t="str">
        <f>Sheet1!I27</f>
        <v>18 Sep 2007</v>
      </c>
      <c r="J17" s="14" t="str">
        <f>Sheet1!J27</f>
        <v>A 07</v>
      </c>
      <c r="K17" s="16" t="str">
        <f>Sheet1!K27</f>
        <v>Cumedak-Sumber Jambe-jember</v>
      </c>
      <c r="L17" s="16" t="str">
        <f>Sheet1!L27</f>
        <v>Maskur</v>
      </c>
      <c r="M17" s="16">
        <f>Sheet1!M27</f>
        <v>0</v>
      </c>
      <c r="N17" s="16" t="str">
        <f ca="1">Sheet1!N27</f>
        <v>17 Tahun, 3 Bulan, 3 Hari</v>
      </c>
      <c r="O17" s="16"/>
      <c r="P17" s="16"/>
    </row>
    <row r="18" spans="1:16" ht="18" hidden="1" customHeight="1" x14ac:dyDescent="0.25">
      <c r="A18" s="12">
        <v>8</v>
      </c>
      <c r="B18" s="14">
        <v>8</v>
      </c>
      <c r="C18" s="16">
        <f>Sheet1!C28</f>
        <v>0</v>
      </c>
      <c r="D18" s="14">
        <f>Sheet1!D28</f>
        <v>1</v>
      </c>
      <c r="E18" s="14" t="str">
        <f>Sheet1!E28</f>
        <v>Ulya</v>
      </c>
      <c r="F18" s="16">
        <f>Sheet1!F28</f>
        <v>2513</v>
      </c>
      <c r="G18" s="16" t="str">
        <f>Sheet1!G28</f>
        <v>Fahrul Aqil Hidayatullah</v>
      </c>
      <c r="H18" s="15" t="str">
        <f>Sheet1!H28</f>
        <v>Jember</v>
      </c>
      <c r="I18" s="17" t="str">
        <f>Sheet1!I28</f>
        <v>05 Juni 2007</v>
      </c>
      <c r="J18" s="14" t="str">
        <f>Sheet1!J28</f>
        <v>A 07</v>
      </c>
      <c r="K18" s="16" t="str">
        <f>Sheet1!K28</f>
        <v>Ajung Mangli Cumeddak Sumber Jambe Jember</v>
      </c>
      <c r="L18" s="16" t="str">
        <f>Sheet1!L28</f>
        <v>Zainullah</v>
      </c>
      <c r="M18" s="16">
        <f>Sheet1!M28</f>
        <v>0</v>
      </c>
      <c r="N18" s="16" t="str">
        <f ca="1">Sheet1!N28</f>
        <v>17 Tahun, 6 Bulan, 16 Hari</v>
      </c>
      <c r="O18" s="16"/>
      <c r="P18" s="16"/>
    </row>
    <row r="19" spans="1:16" ht="18" hidden="1" customHeight="1" x14ac:dyDescent="0.25">
      <c r="A19" s="12">
        <v>9</v>
      </c>
      <c r="B19" s="14">
        <v>9</v>
      </c>
      <c r="C19" s="16">
        <f>Sheet1!C29</f>
        <v>0</v>
      </c>
      <c r="D19" s="14">
        <f>Sheet1!D29</f>
        <v>1</v>
      </c>
      <c r="E19" s="14" t="str">
        <f>Sheet1!E29</f>
        <v>Ulya</v>
      </c>
      <c r="F19" s="16">
        <f>Sheet1!F29</f>
        <v>2510</v>
      </c>
      <c r="G19" s="16" t="str">
        <f>Sheet1!G29</f>
        <v>Anas Abdi Maulana</v>
      </c>
      <c r="H19" s="15" t="str">
        <f>Sheet1!H29</f>
        <v>Jember</v>
      </c>
      <c r="I19" s="17" t="str">
        <f>Sheet1!I29</f>
        <v>05 Mei 2005</v>
      </c>
      <c r="J19" s="14" t="str">
        <f>Sheet1!J29</f>
        <v>A 07</v>
      </c>
      <c r="K19" s="16" t="str">
        <f>Sheet1!K29</f>
        <v>Cumedak-Sumber Jambe-jember</v>
      </c>
      <c r="L19" s="16" t="str">
        <f>Sheet1!L29</f>
        <v>Hairul Anam</v>
      </c>
      <c r="M19" s="16" t="str">
        <f>Sheet1!M29</f>
        <v>Busiya</v>
      </c>
      <c r="N19" s="16" t="str">
        <f ca="1">Sheet1!N29</f>
        <v>19 Tahun, 7 Bulan, 16 Hari</v>
      </c>
      <c r="O19" s="16"/>
      <c r="P19" s="16"/>
    </row>
    <row r="20" spans="1:16" ht="18" hidden="1" customHeight="1" x14ac:dyDescent="0.25">
      <c r="A20" s="12">
        <v>13</v>
      </c>
      <c r="B20" s="14">
        <v>13</v>
      </c>
      <c r="C20" s="16">
        <f>Sheet1!C43</f>
        <v>0</v>
      </c>
      <c r="D20" s="14" t="str">
        <f>Sheet1!D43</f>
        <v>2D</v>
      </c>
      <c r="E20" s="14" t="str">
        <f>Sheet1!E43</f>
        <v>Wustha</v>
      </c>
      <c r="F20" s="16">
        <f>Sheet1!F43</f>
        <v>3345</v>
      </c>
      <c r="G20" s="16" t="str">
        <f>Sheet1!G43</f>
        <v>Taufiqil Hakim</v>
      </c>
      <c r="H20" s="15" t="str">
        <f>Sheet1!H43</f>
        <v xml:space="preserve">Bondowoso </v>
      </c>
      <c r="I20" s="17">
        <f>Sheet1!I43</f>
        <v>39346</v>
      </c>
      <c r="J20" s="14" t="str">
        <f>Sheet1!J43</f>
        <v>A 08</v>
      </c>
      <c r="K20" s="16" t="str">
        <f>Sheet1!K43</f>
        <v>dusun tenggina 11/03 sumberjeruk jambesari jambesari dasus sholah bondowoso</v>
      </c>
      <c r="L20" s="16" t="str">
        <f>Sheet1!L43</f>
        <v>Nawi</v>
      </c>
      <c r="M20" s="16" t="str">
        <f>Sheet1!M43</f>
        <v>Nur Hayati</v>
      </c>
      <c r="N20" s="16" t="str">
        <f ca="1">Sheet1!N43</f>
        <v>17 Tahun, 3 Bulan, 0 Hari</v>
      </c>
      <c r="O20" s="16"/>
      <c r="P20" s="16"/>
    </row>
    <row r="21" spans="1:16" ht="18" hidden="1" customHeight="1" x14ac:dyDescent="0.25">
      <c r="A21" s="12">
        <v>14</v>
      </c>
      <c r="B21" s="14">
        <v>14</v>
      </c>
      <c r="C21" s="16">
        <f>Sheet1!C49</f>
        <v>0</v>
      </c>
      <c r="D21" s="14">
        <f>Sheet1!D49</f>
        <v>1</v>
      </c>
      <c r="E21" s="14" t="str">
        <f>Sheet1!E49</f>
        <v>Ulya</v>
      </c>
      <c r="F21" s="16">
        <f>Sheet1!F49</f>
        <v>2439</v>
      </c>
      <c r="G21" s="16" t="str">
        <f>Sheet1!G49</f>
        <v>Imam Ahmad Subuki</v>
      </c>
      <c r="H21" s="15" t="str">
        <f>Sheet1!H49</f>
        <v>Jember</v>
      </c>
      <c r="I21" s="17" t="str">
        <f>Sheet1!I49</f>
        <v>09 Sep 2007</v>
      </c>
      <c r="J21" s="14" t="str">
        <f>Sheet1!J49</f>
        <v>A 10</v>
      </c>
      <c r="K21" s="16" t="str">
        <f>Sheet1!K49</f>
        <v>Pringgondani-Sumber Jambe-Jember</v>
      </c>
      <c r="L21" s="16" t="str">
        <f>Sheet1!L49</f>
        <v>Moh. Ali</v>
      </c>
      <c r="M21" s="16" t="str">
        <f>Sheet1!M49</f>
        <v>Sumyati</v>
      </c>
      <c r="N21" s="16" t="str">
        <f ca="1">Sheet1!N49</f>
        <v>17 Tahun, 3 Bulan, 12 Hari</v>
      </c>
      <c r="O21" s="16"/>
      <c r="P21" s="16"/>
    </row>
    <row r="22" spans="1:16" ht="18" hidden="1" customHeight="1" x14ac:dyDescent="0.25">
      <c r="A22" s="12">
        <v>15</v>
      </c>
      <c r="B22" s="14">
        <v>15</v>
      </c>
      <c r="C22" s="16">
        <f>Sheet1!C50</f>
        <v>0</v>
      </c>
      <c r="D22" s="14" t="str">
        <f>Sheet1!D50</f>
        <v>2B</v>
      </c>
      <c r="E22" s="14" t="str">
        <f>Sheet1!E50</f>
        <v>Ulya</v>
      </c>
      <c r="F22" s="16">
        <f>Sheet1!F50</f>
        <v>1569</v>
      </c>
      <c r="G22" s="16" t="str">
        <f>Sheet1!G50</f>
        <v>Muhammad Afil</v>
      </c>
      <c r="H22" s="15" t="str">
        <f>Sheet1!H50</f>
        <v>Jember</v>
      </c>
      <c r="I22" s="17" t="str">
        <f>Sheet1!I50</f>
        <v>12 April 2007</v>
      </c>
      <c r="J22" s="14" t="str">
        <f>Sheet1!J50</f>
        <v>A 10</v>
      </c>
      <c r="K22" s="16" t="str">
        <f>Sheet1!K50</f>
        <v xml:space="preserve">Pringgondani, Rt 001/ Rw 010, Kec.Sumber Jambe, Kab.Jember, </v>
      </c>
      <c r="L22" s="16" t="str">
        <f>Sheet1!L50</f>
        <v>hafid ali</v>
      </c>
      <c r="M22" s="16" t="str">
        <f>Sheet1!M50</f>
        <v>tatik fardiasih</v>
      </c>
      <c r="N22" s="16" t="str">
        <f ca="1">Sheet1!N50</f>
        <v>17 Tahun, 8 Bulan, 9 Hari</v>
      </c>
      <c r="O22" s="16"/>
      <c r="P22" s="16"/>
    </row>
    <row r="23" spans="1:16" ht="18" hidden="1" customHeight="1" x14ac:dyDescent="0.25">
      <c r="A23" s="12">
        <v>16</v>
      </c>
      <c r="B23" s="14">
        <v>16</v>
      </c>
      <c r="C23" s="16">
        <f>Sheet1!C51</f>
        <v>0</v>
      </c>
      <c r="D23" s="14">
        <f>Sheet1!D51</f>
        <v>1</v>
      </c>
      <c r="E23" s="14" t="str">
        <f>Sheet1!E51</f>
        <v>Ulya</v>
      </c>
      <c r="F23" s="16">
        <f>Sheet1!F51</f>
        <v>2527</v>
      </c>
      <c r="G23" s="16" t="str">
        <f>Sheet1!G51</f>
        <v>Muhammad Riski</v>
      </c>
      <c r="H23" s="15" t="str">
        <f>Sheet1!H51</f>
        <v>Jember</v>
      </c>
      <c r="I23" s="17" t="str">
        <f>Sheet1!I51</f>
        <v>03 Oktober 2005</v>
      </c>
      <c r="J23" s="14" t="str">
        <f>Sheet1!J51</f>
        <v>A 10</v>
      </c>
      <c r="K23" s="16" t="str">
        <f>Sheet1!K51</f>
        <v>Pringgondani-Sumber Jambe-Jember</v>
      </c>
      <c r="L23" s="16" t="str">
        <f>Sheet1!L51</f>
        <v>Faosi</v>
      </c>
      <c r="M23" s="16" t="str">
        <f>Sheet1!M51</f>
        <v>Surik Artiningsih</v>
      </c>
      <c r="N23" s="16" t="str">
        <f ca="1">Sheet1!N51</f>
        <v>19 Tahun, 2 Bulan, 18 Hari</v>
      </c>
      <c r="O23" s="16"/>
      <c r="P23" s="16"/>
    </row>
    <row r="24" spans="1:16" ht="18" hidden="1" customHeight="1" x14ac:dyDescent="0.25">
      <c r="A24" s="12">
        <v>17</v>
      </c>
      <c r="B24" s="14">
        <v>17</v>
      </c>
      <c r="C24" s="16">
        <f>Sheet1!C52</f>
        <v>0</v>
      </c>
      <c r="D24" s="14" t="str">
        <f>Sheet1!D52</f>
        <v>2B</v>
      </c>
      <c r="E24" s="14" t="str">
        <f>Sheet1!E52</f>
        <v>Ulya</v>
      </c>
      <c r="F24" s="16">
        <f>Sheet1!F52</f>
        <v>1564</v>
      </c>
      <c r="G24" s="16" t="str">
        <f>Sheet1!G52</f>
        <v>Mohammad faruk</v>
      </c>
      <c r="H24" s="15" t="str">
        <f>Sheet1!H52</f>
        <v>Jember</v>
      </c>
      <c r="I24" s="17" t="str">
        <f>Sheet1!I52</f>
        <v>02 Oktober 2004</v>
      </c>
      <c r="J24" s="14" t="str">
        <f>Sheet1!J52</f>
        <v>A 10</v>
      </c>
      <c r="K24" s="16" t="str">
        <f>Sheet1!K52</f>
        <v>Dusun Tol Tol, Rt 002/ Rw 013, Pringgondani, Kec.Sumber jambe, Kab.Jember</v>
      </c>
      <c r="L24" s="16" t="str">
        <f>Sheet1!L52</f>
        <v>Ishaq</v>
      </c>
      <c r="M24" s="16" t="str">
        <f>Sheet1!M52</f>
        <v>Usnatun Hasanah</v>
      </c>
      <c r="N24" s="16" t="str">
        <f ca="1">Sheet1!N52</f>
        <v>20 Tahun, 2 Bulan, 19 Hari</v>
      </c>
      <c r="O24" s="16"/>
      <c r="P24" s="16"/>
    </row>
    <row r="25" spans="1:16" ht="18" hidden="1" customHeight="1" x14ac:dyDescent="0.25">
      <c r="A25" s="12">
        <v>18</v>
      </c>
      <c r="B25" s="14">
        <v>18</v>
      </c>
      <c r="C25" s="16">
        <f>Sheet1!C53</f>
        <v>0</v>
      </c>
      <c r="D25" s="14" t="str">
        <f>Sheet1!D53</f>
        <v>2C</v>
      </c>
      <c r="E25" s="14" t="str">
        <f>Sheet1!E53</f>
        <v>Ulya</v>
      </c>
      <c r="F25" s="16">
        <f>Sheet1!F53</f>
        <v>1556</v>
      </c>
      <c r="G25" s="16" t="str">
        <f>Sheet1!G53</f>
        <v>M.Hamdani Mubarok</v>
      </c>
      <c r="H25" s="15" t="str">
        <f>Sheet1!H53</f>
        <v>Jember</v>
      </c>
      <c r="I25" s="17" t="str">
        <f>Sheet1!I53</f>
        <v>19 Januari 2004</v>
      </c>
      <c r="J25" s="14" t="str">
        <f>Sheet1!J53</f>
        <v>A 10</v>
      </c>
      <c r="K25" s="16" t="str">
        <f>Sheet1!K53</f>
        <v>Dusun Sumber Bubuh, Rt 002/Rw 016, Desa sukosari, Kec.Sukowono, Kab. Jember</v>
      </c>
      <c r="L25" s="16" t="str">
        <f>Sheet1!L53</f>
        <v>Amsori</v>
      </c>
      <c r="M25" s="16" t="str">
        <f>Sheet1!M53</f>
        <v>Nur Imamah</v>
      </c>
      <c r="N25" s="16" t="str">
        <f ca="1">Sheet1!N53</f>
        <v>20 Tahun, 11 Bulan, 2 Hari</v>
      </c>
      <c r="O25" s="16"/>
      <c r="P25" s="16"/>
    </row>
    <row r="26" spans="1:16" ht="18" hidden="1" customHeight="1" x14ac:dyDescent="0.25">
      <c r="A26" s="12">
        <v>21</v>
      </c>
      <c r="B26" s="14">
        <v>21</v>
      </c>
      <c r="C26" s="16">
        <f>Sheet1!C58</f>
        <v>0</v>
      </c>
      <c r="D26" s="14" t="str">
        <f>Sheet1!D58</f>
        <v>2B</v>
      </c>
      <c r="E26" s="14" t="str">
        <f>Sheet1!E58</f>
        <v>Ulya</v>
      </c>
      <c r="F26" s="16">
        <f>Sheet1!F58</f>
        <v>1614</v>
      </c>
      <c r="G26" s="16" t="str">
        <f>Sheet1!G58</f>
        <v>Sofyan Syauri</v>
      </c>
      <c r="H26" s="15" t="str">
        <f>Sheet1!H58</f>
        <v>Jember</v>
      </c>
      <c r="I26" s="17" t="str">
        <f>Sheet1!I58</f>
        <v>14 November 2003</v>
      </c>
      <c r="J26" s="14" t="str">
        <f>Sheet1!J58</f>
        <v>A 12</v>
      </c>
      <c r="K26" s="16" t="str">
        <f>Sheet1!K58</f>
        <v>Dusun Paceh, Rt 002/ Rw 002, Jambearum, Kec.Sumber Jambe, Kab.Jember</v>
      </c>
      <c r="L26" s="16" t="str">
        <f>Sheet1!L58</f>
        <v>Faqih</v>
      </c>
      <c r="M26" s="16" t="str">
        <f>Sheet1!M58</f>
        <v>Latifah</v>
      </c>
      <c r="N26" s="16" t="str">
        <f ca="1">Sheet1!N58</f>
        <v>21 Tahun, 1 Bulan, 7 Hari</v>
      </c>
      <c r="O26" s="16"/>
      <c r="P26" s="16"/>
    </row>
    <row r="27" spans="1:16" ht="18" hidden="1" customHeight="1" x14ac:dyDescent="0.25">
      <c r="A27" s="12">
        <v>22</v>
      </c>
      <c r="B27" s="14">
        <v>22</v>
      </c>
      <c r="C27" s="16" t="str">
        <f>Sheet1!C59</f>
        <v>-</v>
      </c>
      <c r="D27" s="14" t="str">
        <f>Sheet1!D59</f>
        <v>2C</v>
      </c>
      <c r="E27" s="14" t="str">
        <f>Sheet1!E59</f>
        <v>Wustha</v>
      </c>
      <c r="F27" s="16">
        <f>Sheet1!F59</f>
        <v>3271</v>
      </c>
      <c r="G27" s="16" t="str">
        <f>Sheet1!G59</f>
        <v>Moh. Hafidi</v>
      </c>
      <c r="H27" s="15" t="str">
        <f>Sheet1!H59</f>
        <v>Jember</v>
      </c>
      <c r="I27" s="17">
        <f>Sheet1!I59</f>
        <v>39085</v>
      </c>
      <c r="J27" s="14" t="str">
        <f>Sheet1!J59</f>
        <v>A 12</v>
      </c>
      <c r="K27" s="16" t="str">
        <f>Sheet1!K59</f>
        <v>Bearum 001/001 Jambe Arum Sumber Jambe Jember</v>
      </c>
      <c r="L27" s="16" t="str">
        <f>Sheet1!L59</f>
        <v>Moh. Amin</v>
      </c>
      <c r="M27" s="16" t="str">
        <f>Sheet1!M59</f>
        <v>Nur Nazilah</v>
      </c>
      <c r="N27" s="16" t="str">
        <f ca="1">Sheet1!N59</f>
        <v>17 Tahun, 11 Bulan, 18 Hari</v>
      </c>
      <c r="O27" s="16"/>
      <c r="P27" s="16"/>
    </row>
    <row r="28" spans="1:16" ht="18" hidden="1" customHeight="1" x14ac:dyDescent="0.25">
      <c r="A28" s="12">
        <v>23</v>
      </c>
      <c r="B28" s="14">
        <v>23</v>
      </c>
      <c r="C28" s="16">
        <f>Sheet1!C60</f>
        <v>0</v>
      </c>
      <c r="D28" s="14" t="str">
        <f>Sheet1!D60</f>
        <v>2B</v>
      </c>
      <c r="E28" s="14" t="str">
        <f>Sheet1!E60</f>
        <v>Wustha</v>
      </c>
      <c r="F28" s="16">
        <f>Sheet1!F60</f>
        <v>3256</v>
      </c>
      <c r="G28" s="16" t="str">
        <f>Sheet1!G60</f>
        <v>Royan</v>
      </c>
      <c r="H28" s="15" t="str">
        <f>Sheet1!H60</f>
        <v>Jember</v>
      </c>
      <c r="I28" s="17">
        <f>Sheet1!I60</f>
        <v>39329</v>
      </c>
      <c r="J28" s="14" t="str">
        <f>Sheet1!J60</f>
        <v>A 12</v>
      </c>
      <c r="K28" s="16" t="str">
        <f>Sheet1!K60</f>
        <v>Dusun Sukokebun 004/008 Pringgondani Sumberjambe Jember</v>
      </c>
      <c r="L28" s="16" t="str">
        <f>Sheet1!L60</f>
        <v>Haryadi</v>
      </c>
      <c r="M28" s="16">
        <f>Sheet1!M60</f>
        <v>0</v>
      </c>
      <c r="N28" s="16" t="str">
        <f ca="1">Sheet1!N60</f>
        <v>17 Tahun, 3 Bulan, 17 Hari</v>
      </c>
      <c r="O28" s="16"/>
      <c r="P28" s="16"/>
    </row>
    <row r="29" spans="1:16" ht="18" hidden="1" customHeight="1" x14ac:dyDescent="0.25">
      <c r="A29" s="12">
        <v>24</v>
      </c>
      <c r="B29" s="14">
        <v>24</v>
      </c>
      <c r="C29" s="16">
        <f>Sheet1!C78</f>
        <v>0</v>
      </c>
      <c r="D29" s="14">
        <f>Sheet1!D78</f>
        <v>1</v>
      </c>
      <c r="E29" s="14" t="str">
        <f>Sheet1!E78</f>
        <v>Ulya</v>
      </c>
      <c r="F29" s="16">
        <f>Sheet1!F78</f>
        <v>2422</v>
      </c>
      <c r="G29" s="16" t="str">
        <f>Sheet1!G78</f>
        <v>Muhammad Rifqi</v>
      </c>
      <c r="H29" s="15" t="str">
        <f>Sheet1!H78</f>
        <v>Jember</v>
      </c>
      <c r="I29" s="17" t="str">
        <f>Sheet1!I78</f>
        <v>12 Des 2004</v>
      </c>
      <c r="J29" s="14" t="str">
        <f>Sheet1!J78</f>
        <v>A 17</v>
      </c>
      <c r="K29" s="16" t="str">
        <f>Sheet1!K78</f>
        <v>Pringgondani-Sumber Jambe-Jember</v>
      </c>
      <c r="L29" s="16" t="str">
        <f>Sheet1!L78</f>
        <v>Suhaini</v>
      </c>
      <c r="M29" s="16" t="str">
        <f>Sheet1!M78</f>
        <v>Miswati</v>
      </c>
      <c r="N29" s="16" t="str">
        <f ca="1">Sheet1!N78</f>
        <v>20 Tahun, 0 Bulan, 9 Hari</v>
      </c>
      <c r="O29" s="16"/>
      <c r="P29" s="16"/>
    </row>
    <row r="30" spans="1:16" ht="18" hidden="1" customHeight="1" x14ac:dyDescent="0.25">
      <c r="A30" s="12">
        <v>25</v>
      </c>
      <c r="B30" s="14">
        <v>25</v>
      </c>
      <c r="C30" s="16">
        <f>Sheet1!C79</f>
        <v>0</v>
      </c>
      <c r="D30" s="14" t="str">
        <f>Sheet1!D79</f>
        <v>2C</v>
      </c>
      <c r="E30" s="14" t="str">
        <f>Sheet1!E79</f>
        <v>Ulya</v>
      </c>
      <c r="F30" s="16">
        <f>Sheet1!F79</f>
        <v>1561</v>
      </c>
      <c r="G30" s="16" t="str">
        <f>Sheet1!G79</f>
        <v>Moh. Fadli</v>
      </c>
      <c r="H30" s="15" t="str">
        <f>Sheet1!H79</f>
        <v>Jember</v>
      </c>
      <c r="I30" s="17" t="str">
        <f>Sheet1!I79</f>
        <v>07 April 2005</v>
      </c>
      <c r="J30" s="14" t="str">
        <f>Sheet1!J79</f>
        <v>A 17</v>
      </c>
      <c r="K30" s="16" t="str">
        <f>Sheet1!K79</f>
        <v>Dusun Karang Sampurna, Rt 005/ Rw 001, Jambearum, Kec.Sumber Jambe, Kab.Jember</v>
      </c>
      <c r="L30" s="16" t="str">
        <f>Sheet1!L79</f>
        <v>Muhyidin</v>
      </c>
      <c r="M30" s="16" t="str">
        <f>Sheet1!M79</f>
        <v>Rosidah</v>
      </c>
      <c r="N30" s="16" t="str">
        <f ca="1">Sheet1!N79</f>
        <v>19 Tahun, 8 Bulan, 14 Hari</v>
      </c>
      <c r="O30" s="16"/>
      <c r="P30" s="16"/>
    </row>
    <row r="31" spans="1:16" ht="18" hidden="1" customHeight="1" x14ac:dyDescent="0.25">
      <c r="A31" s="12">
        <v>26</v>
      </c>
      <c r="B31" s="14">
        <v>26</v>
      </c>
      <c r="C31" s="16">
        <f>Sheet1!C80</f>
        <v>0</v>
      </c>
      <c r="D31" s="14" t="str">
        <f>Sheet1!D80</f>
        <v>2A</v>
      </c>
      <c r="E31" s="14" t="str">
        <f>Sheet1!E80</f>
        <v>Ulya</v>
      </c>
      <c r="F31" s="16">
        <f>Sheet1!F80</f>
        <v>1528</v>
      </c>
      <c r="G31" s="16" t="str">
        <f>Sheet1!G80</f>
        <v>Ainul Fattah Al Qiromi</v>
      </c>
      <c r="H31" s="15" t="str">
        <f>Sheet1!H80</f>
        <v>Jember</v>
      </c>
      <c r="I31" s="17" t="str">
        <f>Sheet1!I80</f>
        <v>28 Maret 2005</v>
      </c>
      <c r="J31" s="14" t="str">
        <f>Sheet1!J80</f>
        <v>A 17</v>
      </c>
      <c r="K31" s="16" t="str">
        <f>Sheet1!K80</f>
        <v>Pringgondani, , , Sumber Jambe, Jember</v>
      </c>
      <c r="L31" s="16" t="str">
        <f>Sheet1!L80</f>
        <v>Ashari</v>
      </c>
      <c r="M31" s="16" t="str">
        <f>Sheet1!M80</f>
        <v>Soamna</v>
      </c>
      <c r="N31" s="16" t="str">
        <f ca="1">Sheet1!N80</f>
        <v>19 Tahun, 8 Bulan, 23 Hari</v>
      </c>
      <c r="O31" s="16"/>
      <c r="P31" s="16"/>
    </row>
    <row r="32" spans="1:16" ht="18" hidden="1" customHeight="1" x14ac:dyDescent="0.25">
      <c r="A32" s="12">
        <v>27</v>
      </c>
      <c r="B32" s="14">
        <v>27</v>
      </c>
      <c r="C32" s="16">
        <f>Sheet1!C81</f>
        <v>0</v>
      </c>
      <c r="D32" s="14" t="str">
        <f>Sheet1!D81</f>
        <v>2A</v>
      </c>
      <c r="E32" s="14" t="str">
        <f>Sheet1!E81</f>
        <v>Ulya</v>
      </c>
      <c r="F32" s="16">
        <f>Sheet1!F81</f>
        <v>1588</v>
      </c>
      <c r="G32" s="16" t="str">
        <f>Sheet1!G81</f>
        <v>Muhammad Maltuf</v>
      </c>
      <c r="H32" s="15" t="str">
        <f>Sheet1!H81</f>
        <v>Jember</v>
      </c>
      <c r="I32" s="17" t="str">
        <f>Sheet1!I81</f>
        <v>28 Maret 2005</v>
      </c>
      <c r="J32" s="14" t="str">
        <f>Sheet1!J81</f>
        <v>A 17</v>
      </c>
      <c r="K32" s="16" t="str">
        <f>Sheet1!K81</f>
        <v>Dusun Taman Burnih, Rt 004/ Rw 002, Pringgondani, Kec.Sumber Jambe, Kab.Jember</v>
      </c>
      <c r="L32" s="16" t="str">
        <f>Sheet1!L81</f>
        <v>Saniman</v>
      </c>
      <c r="M32" s="16">
        <f>Sheet1!M81</f>
        <v>0</v>
      </c>
      <c r="N32" s="16" t="str">
        <f ca="1">Sheet1!N81</f>
        <v>19 Tahun, 8 Bulan, 23 Hari</v>
      </c>
      <c r="O32" s="16"/>
      <c r="P32" s="16"/>
    </row>
    <row r="33" spans="1:16" ht="18" hidden="1" customHeight="1" x14ac:dyDescent="0.25">
      <c r="A33" s="12">
        <v>28</v>
      </c>
      <c r="B33" s="14">
        <v>28</v>
      </c>
      <c r="C33" s="16">
        <f>Sheet1!C82</f>
        <v>0</v>
      </c>
      <c r="D33" s="14">
        <f>Sheet1!D82</f>
        <v>1</v>
      </c>
      <c r="E33" s="14" t="str">
        <f>Sheet1!E82</f>
        <v>Ulya</v>
      </c>
      <c r="F33" s="16">
        <f>Sheet1!F82</f>
        <v>2530</v>
      </c>
      <c r="G33" s="16" t="str">
        <f>Sheet1!G82</f>
        <v>Afandi Maulana</v>
      </c>
      <c r="H33" s="15" t="str">
        <f>Sheet1!H82</f>
        <v>Jember</v>
      </c>
      <c r="I33" s="17" t="str">
        <f>Sheet1!I82</f>
        <v>20 Maret 2005</v>
      </c>
      <c r="J33" s="14" t="str">
        <f>Sheet1!J82</f>
        <v>A 17</v>
      </c>
      <c r="K33" s="16" t="str">
        <f>Sheet1!K82</f>
        <v>Pringgondani</v>
      </c>
      <c r="L33" s="16" t="str">
        <f>Sheet1!L82</f>
        <v xml:space="preserve">Nidan </v>
      </c>
      <c r="M33" s="16" t="str">
        <f>Sheet1!M82</f>
        <v>Rolayya</v>
      </c>
      <c r="N33" s="16" t="str">
        <f ca="1">Sheet1!N82</f>
        <v>19 Tahun, 9 Bulan, 1 Hari</v>
      </c>
      <c r="O33" s="16"/>
      <c r="P33" s="16"/>
    </row>
    <row r="34" spans="1:16" ht="18" hidden="1" customHeight="1" x14ac:dyDescent="0.25">
      <c r="A34" s="12">
        <v>29</v>
      </c>
      <c r="B34" s="14">
        <v>29</v>
      </c>
      <c r="C34" s="16" t="str">
        <f>Sheet1!C83</f>
        <v>3 SMA</v>
      </c>
      <c r="D34" s="14" t="str">
        <f>Sheet1!D83</f>
        <v>2C</v>
      </c>
      <c r="E34" s="14" t="str">
        <f>Sheet1!E83</f>
        <v>Wustha</v>
      </c>
      <c r="F34" s="16">
        <f>Sheet1!F83</f>
        <v>3287</v>
      </c>
      <c r="G34" s="16" t="str">
        <f>Sheet1!G83</f>
        <v>Muhammad Ubaidillah Faqih</v>
      </c>
      <c r="H34" s="15" t="str">
        <f>Sheet1!H83</f>
        <v>Bondowoso</v>
      </c>
      <c r="I34" s="17" t="str">
        <f>Sheet1!I83</f>
        <v>5 Maret 2007</v>
      </c>
      <c r="J34" s="14" t="str">
        <f>Sheet1!J83</f>
        <v>A 17</v>
      </c>
      <c r="K34" s="16" t="str">
        <f>Sheet1!K83</f>
        <v>Cangkring Grujugan Lor-Jambesari DS-Bondowoso</v>
      </c>
      <c r="L34" s="16" t="str">
        <f>Sheet1!L83</f>
        <v>Munawar</v>
      </c>
      <c r="M34" s="16" t="str">
        <f>Sheet1!M83</f>
        <v>Misbahul Munirah</v>
      </c>
      <c r="N34" s="16" t="str">
        <f ca="1">Sheet1!N83</f>
        <v>17 Tahun, 9 Bulan, 16 Hari</v>
      </c>
      <c r="O34" s="16"/>
      <c r="P34" s="16"/>
    </row>
    <row r="35" spans="1:16" ht="18" hidden="1" customHeight="1" x14ac:dyDescent="0.25">
      <c r="A35" s="12">
        <v>30</v>
      </c>
      <c r="B35" s="14">
        <v>4</v>
      </c>
      <c r="C35" s="16" t="str">
        <f>Sheet1!C125</f>
        <v>STAI</v>
      </c>
      <c r="D35" s="14" t="str">
        <f>Sheet1!D125</f>
        <v>3A</v>
      </c>
      <c r="E35" s="14" t="str">
        <f>Sheet1!E125</f>
        <v>Wustha</v>
      </c>
      <c r="F35" s="16">
        <f>Sheet1!F125</f>
        <v>2772</v>
      </c>
      <c r="G35" s="16" t="str">
        <f>Sheet1!G125</f>
        <v>Malik Fauzi</v>
      </c>
      <c r="H35" s="15" t="str">
        <f>Sheet1!H125</f>
        <v>Jember</v>
      </c>
      <c r="I35" s="17">
        <f>Sheet1!I125</f>
        <v>39083</v>
      </c>
      <c r="J35" s="14" t="str">
        <f>Sheet1!J125</f>
        <v>B 06</v>
      </c>
      <c r="K35" s="16" t="str">
        <f>Sheet1!K125</f>
        <v>Pringgondani-Sumber Jambe-Jember</v>
      </c>
      <c r="L35" s="16" t="str">
        <f>Sheet1!L125</f>
        <v>Suryadi</v>
      </c>
      <c r="M35" s="16" t="str">
        <f>Sheet1!M125</f>
        <v xml:space="preserve">Kuswati </v>
      </c>
      <c r="N35" s="16" t="str">
        <f ca="1">Sheet1!N125</f>
        <v>17 Tahun, 11 Bulan, 20 Hari</v>
      </c>
      <c r="O35" s="16"/>
      <c r="P35" s="16"/>
    </row>
    <row r="36" spans="1:16" ht="18" hidden="1" customHeight="1" x14ac:dyDescent="0.25">
      <c r="A36" s="12">
        <v>31</v>
      </c>
      <c r="B36" s="14">
        <v>5</v>
      </c>
      <c r="C36" s="16">
        <f>Sheet1!C126</f>
        <v>0</v>
      </c>
      <c r="D36" s="14" t="str">
        <f>Sheet1!D126</f>
        <v>1A</v>
      </c>
      <c r="E36" s="14" t="str">
        <f>Sheet1!E126</f>
        <v>Wustha</v>
      </c>
      <c r="F36" s="16">
        <f>Sheet1!F126</f>
        <v>3632</v>
      </c>
      <c r="G36" s="16" t="str">
        <f>Sheet1!G126</f>
        <v>Muhammad Ahmadi</v>
      </c>
      <c r="H36" s="15" t="str">
        <f>Sheet1!H126</f>
        <v>Jember</v>
      </c>
      <c r="I36" s="17" t="str">
        <f>Sheet1!I126</f>
        <v>01 JULI 2005</v>
      </c>
      <c r="J36" s="14" t="str">
        <f>Sheet1!J126</f>
        <v>B 06</v>
      </c>
      <c r="K36" s="16" t="str">
        <f>Sheet1!K126</f>
        <v>Dusun Ketibil 002/015 Pringgondani Sumber Jambe Jember</v>
      </c>
      <c r="L36" s="16" t="str">
        <f>Sheet1!L126</f>
        <v>Muzakki</v>
      </c>
      <c r="M36" s="16" t="str">
        <f>Sheet1!M126</f>
        <v>Maimunah</v>
      </c>
      <c r="N36" s="16" t="str">
        <f ca="1">Sheet1!N126</f>
        <v>19 Tahun, 5 Bulan, 20 Hari</v>
      </c>
      <c r="O36" s="16"/>
      <c r="P36" s="16"/>
    </row>
    <row r="37" spans="1:16" ht="18" hidden="1" customHeight="1" x14ac:dyDescent="0.25">
      <c r="A37" s="12">
        <v>34</v>
      </c>
      <c r="B37" s="14">
        <v>8</v>
      </c>
      <c r="C37" s="16">
        <f>Sheet1!C164</f>
        <v>0</v>
      </c>
      <c r="D37" s="14" t="str">
        <f>Sheet1!D164</f>
        <v>3A</v>
      </c>
      <c r="E37" s="14" t="str">
        <f>Sheet1!E164</f>
        <v>Wustha</v>
      </c>
      <c r="F37" s="16">
        <f>Sheet1!F164</f>
        <v>2784</v>
      </c>
      <c r="G37" s="16" t="str">
        <f>Sheet1!G164</f>
        <v>Saiful Hikam</v>
      </c>
      <c r="H37" s="15" t="str">
        <f>Sheet1!H164</f>
        <v>Bondowoso</v>
      </c>
      <c r="I37" s="17">
        <f>Sheet1!I164</f>
        <v>38875</v>
      </c>
      <c r="J37" s="14" t="str">
        <f>Sheet1!J164</f>
        <v>B 13</v>
      </c>
      <c r="K37" s="16" t="str">
        <f>Sheet1!K164</f>
        <v>Trotosari-Tlogosari-Bondowoso</v>
      </c>
      <c r="L37" s="16" t="str">
        <f>Sheet1!L164</f>
        <v>Suto</v>
      </c>
      <c r="M37" s="16" t="str">
        <f>Sheet1!M164</f>
        <v>Suhriya</v>
      </c>
      <c r="N37" s="16" t="str">
        <f ca="1">Sheet1!N164</f>
        <v>18 Tahun, 6 Bulan, 14 Hari</v>
      </c>
      <c r="O37" s="16"/>
      <c r="P37" s="16"/>
    </row>
    <row r="38" spans="1:16" ht="18" hidden="1" customHeight="1" x14ac:dyDescent="0.25">
      <c r="A38" s="12">
        <v>35</v>
      </c>
      <c r="B38" s="14">
        <v>9</v>
      </c>
      <c r="C38" s="16" t="str">
        <f>Sheet1!C175</f>
        <v>2 SMA</v>
      </c>
      <c r="D38" s="14" t="str">
        <f>Sheet1!D175</f>
        <v>1C</v>
      </c>
      <c r="E38" s="14" t="str">
        <f>Sheet1!E175</f>
        <v>Wustha</v>
      </c>
      <c r="F38" s="16">
        <f>Sheet1!F175</f>
        <v>3688</v>
      </c>
      <c r="G38" s="16" t="str">
        <f>Sheet1!G175</f>
        <v>Muhammad Ahsanus Sabil</v>
      </c>
      <c r="H38" s="15" t="str">
        <f>Sheet1!H175</f>
        <v>Bondowoso,</v>
      </c>
      <c r="I38" s="17" t="str">
        <f>Sheet1!I175</f>
        <v>05 juli 2007</v>
      </c>
      <c r="J38" s="14" t="str">
        <f>Sheet1!J175</f>
        <v>B 14</v>
      </c>
      <c r="K38" s="16" t="str">
        <f>Sheet1!K175</f>
        <v>mangli 016/003-pujer-bondowoso</v>
      </c>
      <c r="L38" s="16" t="str">
        <f>Sheet1!L175</f>
        <v>Ahmad</v>
      </c>
      <c r="M38" s="16" t="str">
        <f>Sheet1!M175</f>
        <v>Fitriyah</v>
      </c>
      <c r="N38" s="16" t="str">
        <f ca="1">Sheet1!N175</f>
        <v>17 Tahun, 5 Bulan, 16 Hari</v>
      </c>
      <c r="O38" s="16"/>
      <c r="P38" s="16"/>
    </row>
    <row r="39" spans="1:16" ht="18" hidden="1" customHeight="1" x14ac:dyDescent="0.25">
      <c r="A39" s="12">
        <v>36</v>
      </c>
      <c r="B39" s="14">
        <v>10</v>
      </c>
      <c r="C39" s="16" t="str">
        <f>Sheet1!C191</f>
        <v>2 MTS</v>
      </c>
      <c r="D39" s="14" t="str">
        <f>Sheet1!D191</f>
        <v>2A</v>
      </c>
      <c r="E39" s="14" t="str">
        <f>Sheet1!E191</f>
        <v>Wustha</v>
      </c>
      <c r="F39" s="16">
        <f>Sheet1!F191</f>
        <v>3513</v>
      </c>
      <c r="G39" s="16" t="str">
        <f>Sheet1!G191</f>
        <v>Ahmad Faisol</v>
      </c>
      <c r="H39" s="15" t="str">
        <f>Sheet1!H191</f>
        <v>Jember</v>
      </c>
      <c r="I39" s="17">
        <f>Sheet1!I191</f>
        <v>0</v>
      </c>
      <c r="J39" s="14" t="str">
        <f>Sheet1!J191</f>
        <v>B 17</v>
      </c>
      <c r="K39" s="16" t="str">
        <f>Sheet1!K191</f>
        <v>Ds Mengen Krajan Tamanan Bondowoso</v>
      </c>
      <c r="L39" s="16" t="str">
        <f>Sheet1!L191</f>
        <v>Muhlis</v>
      </c>
      <c r="M39" s="16">
        <f>Sheet1!M191</f>
        <v>0</v>
      </c>
      <c r="N39" s="16" t="str">
        <f ca="1">Sheet1!N191</f>
        <v>124 Tahun, 11 Bulan, 21 Hari</v>
      </c>
      <c r="O39" s="16"/>
      <c r="P39" s="16"/>
    </row>
    <row r="40" spans="1:16" ht="18" hidden="1" customHeight="1" x14ac:dyDescent="0.25">
      <c r="A40" s="12">
        <v>37</v>
      </c>
      <c r="B40" s="14">
        <v>11</v>
      </c>
      <c r="C40" s="16" t="str">
        <f>Sheet1!C198</f>
        <v>2 SMA</v>
      </c>
      <c r="D40" s="14" t="str">
        <f>Sheet1!D198</f>
        <v>3C</v>
      </c>
      <c r="E40" s="14" t="str">
        <f>Sheet1!E198</f>
        <v>Wustha</v>
      </c>
      <c r="F40" s="16">
        <f>Sheet1!F198</f>
        <v>2786</v>
      </c>
      <c r="G40" s="16" t="str">
        <f>Sheet1!G198</f>
        <v>Farhan Abrori</v>
      </c>
      <c r="H40" s="15" t="str">
        <f>Sheet1!H198</f>
        <v>Jember</v>
      </c>
      <c r="I40" s="17">
        <f>Sheet1!I198</f>
        <v>39190</v>
      </c>
      <c r="J40" s="14" t="str">
        <f>Sheet1!J198</f>
        <v>C 02</v>
      </c>
      <c r="K40" s="16" t="str">
        <f>Sheet1!K198</f>
        <v>Krajan Barat-Sukowono-Jember</v>
      </c>
      <c r="L40" s="16" t="str">
        <f>Sheet1!L198</f>
        <v>Marham</v>
      </c>
      <c r="M40" s="16">
        <f>Sheet1!M198</f>
        <v>0</v>
      </c>
      <c r="N40" s="16" t="str">
        <f ca="1">Sheet1!N198</f>
        <v>17 Tahun, 8 Bulan, 3 Hari</v>
      </c>
      <c r="O40" s="16"/>
      <c r="P40" s="16"/>
    </row>
    <row r="41" spans="1:16" ht="18" hidden="1" customHeight="1" x14ac:dyDescent="0.25">
      <c r="A41" s="12">
        <v>38</v>
      </c>
      <c r="B41" s="14">
        <v>12</v>
      </c>
      <c r="C41" s="16">
        <f>Sheet1!C202</f>
        <v>0</v>
      </c>
      <c r="D41" s="14" t="str">
        <f>Sheet1!D202</f>
        <v>3B</v>
      </c>
      <c r="E41" s="14" t="str">
        <f>Sheet1!E202</f>
        <v>Wustha</v>
      </c>
      <c r="F41" s="16">
        <f>Sheet1!F202</f>
        <v>2863</v>
      </c>
      <c r="G41" s="16" t="str">
        <f>Sheet1!G202</f>
        <v>Hamli Roziqin</v>
      </c>
      <c r="H41" s="15" t="str">
        <f>Sheet1!H202</f>
        <v>Jember</v>
      </c>
      <c r="I41" s="17">
        <f>Sheet1!I202</f>
        <v>39324</v>
      </c>
      <c r="J41" s="14" t="str">
        <f>Sheet1!J202</f>
        <v>C 03</v>
      </c>
      <c r="K41" s="16" t="str">
        <f>Sheet1!K202</f>
        <v>Panduman-Jelbuk-Jember</v>
      </c>
      <c r="L41" s="16" t="str">
        <f>Sheet1!L202</f>
        <v>Abdul Wahab AS</v>
      </c>
      <c r="M41" s="16" t="str">
        <f>Sheet1!M202</f>
        <v>Muawanah</v>
      </c>
      <c r="N41" s="16" t="str">
        <f ca="1">Sheet1!N202</f>
        <v>17 Tahun, 3 Bulan, 21 Hari</v>
      </c>
      <c r="O41" s="16"/>
      <c r="P41" s="16"/>
    </row>
    <row r="42" spans="1:16" ht="18" hidden="1" customHeight="1" x14ac:dyDescent="0.25">
      <c r="A42" s="12">
        <v>39</v>
      </c>
      <c r="B42" s="14">
        <v>13</v>
      </c>
      <c r="C42" s="16" t="str">
        <f>Sheet1!C210</f>
        <v>STAI</v>
      </c>
      <c r="D42" s="14" t="str">
        <f>Sheet1!D210</f>
        <v>3A</v>
      </c>
      <c r="E42" s="14" t="str">
        <f>Sheet1!E210</f>
        <v>Wustha</v>
      </c>
      <c r="F42" s="16">
        <f>Sheet1!F210</f>
        <v>2837</v>
      </c>
      <c r="G42" s="16" t="str">
        <f>Sheet1!G210</f>
        <v>Ahmad Gufron</v>
      </c>
      <c r="H42" s="15" t="str">
        <f>Sheet1!H210</f>
        <v>Bondowoso</v>
      </c>
      <c r="I42" s="17">
        <f>Sheet1!I210</f>
        <v>38520</v>
      </c>
      <c r="J42" s="14" t="str">
        <f>Sheet1!J210</f>
        <v>C 04</v>
      </c>
      <c r="K42" s="16" t="str">
        <f>Sheet1!K210</f>
        <v>Potok-Brambang Darussalam-Tkogosari-Bondowoso</v>
      </c>
      <c r="L42" s="16" t="str">
        <f>Sheet1!L210</f>
        <v>Muhdar</v>
      </c>
      <c r="M42" s="16" t="str">
        <f>Sheet1!M210</f>
        <v>Heryati</v>
      </c>
      <c r="N42" s="16" t="str">
        <f ca="1">Sheet1!N210</f>
        <v>19 Tahun, 6 Bulan, 4 Hari</v>
      </c>
      <c r="O42" s="16"/>
      <c r="P42" s="16"/>
    </row>
    <row r="43" spans="1:16" ht="18" hidden="1" customHeight="1" x14ac:dyDescent="0.25">
      <c r="A43" s="12">
        <v>40</v>
      </c>
      <c r="B43" s="14">
        <v>14</v>
      </c>
      <c r="C43" s="16">
        <f>Sheet1!C214</f>
        <v>0</v>
      </c>
      <c r="D43" s="14" t="str">
        <f>Sheet1!D214</f>
        <v>2B</v>
      </c>
      <c r="E43" s="14" t="str">
        <f>Sheet1!E214</f>
        <v>Ulya</v>
      </c>
      <c r="F43" s="16">
        <f>Sheet1!F214</f>
        <v>1520</v>
      </c>
      <c r="G43" s="16" t="str">
        <f>Sheet1!G214</f>
        <v>Ahmad Faizi</v>
      </c>
      <c r="H43" s="15" t="str">
        <f>Sheet1!H214</f>
        <v>Jember</v>
      </c>
      <c r="I43" s="17" t="str">
        <f>Sheet1!I214</f>
        <v>26 Februari 2007</v>
      </c>
      <c r="J43" s="14" t="str">
        <f>Sheet1!J214</f>
        <v>C 05</v>
      </c>
      <c r="K43" s="16" t="str">
        <f>Sheet1!K214</f>
        <v>Ajung Mangli, 006/001, Cumedak, Kec.SumberJambe, Kab.Jember</v>
      </c>
      <c r="L43" s="16" t="str">
        <f>Sheet1!L214</f>
        <v>Bahri</v>
      </c>
      <c r="M43" s="16">
        <f>Sheet1!M214</f>
        <v>0</v>
      </c>
      <c r="N43" s="16" t="str">
        <f ca="1">Sheet1!N214</f>
        <v>17 Tahun, 9 Bulan, 25 Hari</v>
      </c>
      <c r="O43" s="16"/>
      <c r="P43" s="16"/>
    </row>
    <row r="44" spans="1:16" ht="18" hidden="1" customHeight="1" x14ac:dyDescent="0.25">
      <c r="A44" s="12">
        <v>41</v>
      </c>
      <c r="B44" s="14">
        <v>15</v>
      </c>
      <c r="C44" s="16">
        <f>Sheet1!C217</f>
        <v>0</v>
      </c>
      <c r="D44" s="14">
        <f>Sheet1!D217</f>
        <v>1</v>
      </c>
      <c r="E44" s="14" t="str">
        <f>Sheet1!E217</f>
        <v>Ulya</v>
      </c>
      <c r="F44" s="16">
        <f>Sheet1!F217</f>
        <v>2448</v>
      </c>
      <c r="G44" s="16" t="str">
        <f>Sheet1!G217</f>
        <v>Miftahul Ulum</v>
      </c>
      <c r="H44" s="15" t="str">
        <f>Sheet1!H217</f>
        <v>Jember</v>
      </c>
      <c r="I44" s="17" t="str">
        <f>Sheet1!I217</f>
        <v>14 Juli 2002</v>
      </c>
      <c r="J44" s="14" t="str">
        <f>Sheet1!J217</f>
        <v>C 06</v>
      </c>
      <c r="K44" s="16" t="str">
        <f>Sheet1!K217</f>
        <v>Arjasa-sukowono-jember</v>
      </c>
      <c r="L44" s="16" t="str">
        <f>Sheet1!L217</f>
        <v>Moh. Amin</v>
      </c>
      <c r="M44" s="16" t="str">
        <f>Sheet1!M217</f>
        <v>Nur Nazilah</v>
      </c>
      <c r="N44" s="16" t="str">
        <f ca="1">Sheet1!N217</f>
        <v>22 Tahun, 5 Bulan, 7 Hari</v>
      </c>
      <c r="O44" s="16"/>
      <c r="P44" s="16"/>
    </row>
    <row r="45" spans="1:16" ht="18" hidden="1" customHeight="1" x14ac:dyDescent="0.25">
      <c r="A45" s="12">
        <v>42</v>
      </c>
      <c r="B45" s="14">
        <v>16</v>
      </c>
      <c r="C45" s="16" t="str">
        <f>Sheet1!C218</f>
        <v>-</v>
      </c>
      <c r="D45" s="14" t="str">
        <f>Sheet1!D218</f>
        <v>3D</v>
      </c>
      <c r="E45" s="14" t="str">
        <f>Sheet1!E218</f>
        <v>Wustha</v>
      </c>
      <c r="F45" s="16">
        <f>Sheet1!F218</f>
        <v>2831</v>
      </c>
      <c r="G45" s="16" t="str">
        <f>Sheet1!G218</f>
        <v xml:space="preserve">Muhammad Jamilun </v>
      </c>
      <c r="H45" s="15" t="str">
        <f>Sheet1!H218</f>
        <v>Jember</v>
      </c>
      <c r="I45" s="17">
        <f>Sheet1!I218</f>
        <v>38604</v>
      </c>
      <c r="J45" s="14" t="str">
        <f>Sheet1!J218</f>
        <v>C 06</v>
      </c>
      <c r="K45" s="16" t="str">
        <f>Sheet1!K218</f>
        <v>Petung-Arjasa-Sukowono-Jember</v>
      </c>
      <c r="L45" s="16" t="str">
        <f>Sheet1!L218</f>
        <v>jupri haryadi</v>
      </c>
      <c r="M45" s="16" t="str">
        <f>Sheet1!M218</f>
        <v>komariyah</v>
      </c>
      <c r="N45" s="16" t="str">
        <f ca="1">Sheet1!N218</f>
        <v>19 Tahun, 3 Bulan, 12 Hari</v>
      </c>
      <c r="O45" s="16"/>
      <c r="P45" s="16"/>
    </row>
    <row r="46" spans="1:16" ht="18" hidden="1" customHeight="1" x14ac:dyDescent="0.25">
      <c r="A46" s="12">
        <v>44</v>
      </c>
      <c r="B46" s="14">
        <v>18</v>
      </c>
      <c r="C46" s="16" t="str">
        <f>Sheet1!C223</f>
        <v>1 SMA</v>
      </c>
      <c r="D46" s="14" t="str">
        <f>Sheet1!D223</f>
        <v>1C</v>
      </c>
      <c r="E46" s="14" t="str">
        <f>Sheet1!E223</f>
        <v>Wustha</v>
      </c>
      <c r="F46" s="16">
        <f>Sheet1!F223</f>
        <v>3670</v>
      </c>
      <c r="G46" s="16" t="str">
        <f>Sheet1!G223</f>
        <v xml:space="preserve">Achmad Salam </v>
      </c>
      <c r="H46" s="15" t="str">
        <f>Sheet1!H223</f>
        <v>Bangkalan</v>
      </c>
      <c r="I46" s="17">
        <f>Sheet1!I223</f>
        <v>39184</v>
      </c>
      <c r="J46" s="14" t="str">
        <f>Sheet1!J223</f>
        <v>C 09</v>
      </c>
      <c r="K46" s="16" t="str">
        <f>Sheet1!K223</f>
        <v>Dsn. Sok Sok Dusun. Batokaben -/- Batokaban Konang Bangkalan Jawa Timur</v>
      </c>
      <c r="L46" s="16">
        <f>Sheet1!L223</f>
        <v>0</v>
      </c>
      <c r="M46" s="16">
        <f>Sheet1!M223</f>
        <v>0</v>
      </c>
      <c r="N46" s="16" t="str">
        <f ca="1">Sheet1!N223</f>
        <v>17 Tahun, 8 Bulan, 9 Hari</v>
      </c>
      <c r="O46" s="16"/>
      <c r="P46" s="16"/>
    </row>
    <row r="47" spans="1:16" ht="18" hidden="1" customHeight="1" x14ac:dyDescent="0.25">
      <c r="A47" s="12">
        <v>46</v>
      </c>
      <c r="B47" s="14">
        <v>20</v>
      </c>
      <c r="C47" s="16">
        <f>Sheet1!C230</f>
        <v>0</v>
      </c>
      <c r="D47" s="14" t="str">
        <f>Sheet1!D230</f>
        <v>3B</v>
      </c>
      <c r="E47" s="14" t="str">
        <f>Sheet1!E230</f>
        <v>Wustha</v>
      </c>
      <c r="F47" s="16">
        <f>Sheet1!F230</f>
        <v>3192</v>
      </c>
      <c r="G47" s="16" t="str">
        <f>Sheet1!G230</f>
        <v>Muhammad Hibri Faqih</v>
      </c>
      <c r="H47" s="15" t="str">
        <f>Sheet1!H230</f>
        <v>Jember</v>
      </c>
      <c r="I47" s="17">
        <f>Sheet1!I230</f>
        <v>38590</v>
      </c>
      <c r="J47" s="14" t="str">
        <f>Sheet1!J230</f>
        <v>C 12</v>
      </c>
      <c r="K47" s="16" t="str">
        <f>Sheet1!K230</f>
        <v>Sukogidri Ledokombo Jember</v>
      </c>
      <c r="L47" s="16" t="str">
        <f>Sheet1!L230</f>
        <v>Basirullah</v>
      </c>
      <c r="M47" s="16" t="str">
        <f>Sheet1!M230</f>
        <v>Anisah</v>
      </c>
      <c r="N47" s="16" t="str">
        <f ca="1">Sheet1!N230</f>
        <v>19 Tahun, 3 Bulan, 25 Hari</v>
      </c>
      <c r="O47" s="16"/>
      <c r="P47" s="16"/>
    </row>
    <row r="48" spans="1:16" ht="18" hidden="1" customHeight="1" x14ac:dyDescent="0.25">
      <c r="A48" s="12">
        <v>49</v>
      </c>
      <c r="B48" s="14">
        <v>23</v>
      </c>
      <c r="C48" s="16">
        <f>Sheet1!C243</f>
        <v>0</v>
      </c>
      <c r="D48" s="14" t="str">
        <f>Sheet1!D243</f>
        <v>2B</v>
      </c>
      <c r="E48" s="14" t="str">
        <f>Sheet1!E243</f>
        <v>Ulya</v>
      </c>
      <c r="F48" s="16">
        <f>Sheet1!F243</f>
        <v>1578</v>
      </c>
      <c r="G48" s="16" t="str">
        <f>Sheet1!G243</f>
        <v>Muhammad Hamzah Al Hari</v>
      </c>
      <c r="H48" s="15" t="str">
        <f>Sheet1!H243</f>
        <v>Jember</v>
      </c>
      <c r="I48" s="17" t="str">
        <f>Sheet1!I243</f>
        <v>01 Agustus 2005</v>
      </c>
      <c r="J48" s="14" t="str">
        <f>Sheet1!J243</f>
        <v>C 16</v>
      </c>
      <c r="K48" s="16" t="str">
        <f>Sheet1!K243</f>
        <v>Dusun Tol Tol, Rt 001/ Rw 011, Pringgondani, Kec.Sumber Jambe, Kab.Jember</v>
      </c>
      <c r="L48" s="16" t="str">
        <f>Sheet1!L243</f>
        <v>Samsul</v>
      </c>
      <c r="M48" s="16" t="str">
        <f>Sheet1!M243</f>
        <v>Supriyati</v>
      </c>
      <c r="N48" s="16" t="str">
        <f ca="1">Sheet1!N243</f>
        <v>19 Tahun, 4 Bulan, 20 Hari</v>
      </c>
      <c r="O48" s="16"/>
      <c r="P48" s="16"/>
    </row>
    <row r="49" spans="1:16" ht="18" hidden="1" customHeight="1" x14ac:dyDescent="0.25">
      <c r="A49" s="12">
        <v>50</v>
      </c>
      <c r="B49" s="14">
        <v>4</v>
      </c>
      <c r="C49" s="16" t="str">
        <f>Sheet1!C250</f>
        <v>2 SMA</v>
      </c>
      <c r="D49" s="14" t="str">
        <f>Sheet1!D250</f>
        <v>2B</v>
      </c>
      <c r="E49" s="14" t="str">
        <f>Sheet1!E250</f>
        <v>Wustha</v>
      </c>
      <c r="F49" s="16">
        <f>Sheet1!F250</f>
        <v>3259</v>
      </c>
      <c r="G49" s="16" t="str">
        <f>Sheet1!G250</f>
        <v>Muhammad Bobi</v>
      </c>
      <c r="H49" s="15" t="str">
        <f>Sheet1!H250</f>
        <v>Bondowoso</v>
      </c>
      <c r="I49" s="17" t="str">
        <f>Sheet1!I250</f>
        <v>10 Oktober 2007</v>
      </c>
      <c r="J49" s="14" t="str">
        <f>Sheet1!J250</f>
        <v>D 01</v>
      </c>
      <c r="K49" s="16" t="str">
        <f>Sheet1!K250</f>
        <v>Randu Cangkring 07/01 Pujer-Bondowoso</v>
      </c>
      <c r="L49" s="16" t="str">
        <f>Sheet1!L250</f>
        <v>Ali Jufri</v>
      </c>
      <c r="M49" s="16" t="str">
        <f>Sheet1!M250</f>
        <v>Rahbia</v>
      </c>
      <c r="N49" s="16" t="str">
        <f ca="1">Sheet1!N250</f>
        <v>17 Tahun, 2 Bulan, 11 Hari</v>
      </c>
      <c r="O49" s="16"/>
      <c r="P49" s="16"/>
    </row>
    <row r="50" spans="1:16" ht="18" hidden="1" customHeight="1" x14ac:dyDescent="0.25">
      <c r="A50" s="12">
        <v>52</v>
      </c>
      <c r="B50" s="14">
        <v>6</v>
      </c>
      <c r="C50" s="16">
        <f>Sheet1!C269</f>
        <v>0</v>
      </c>
      <c r="D50" s="14">
        <f>Sheet1!D269</f>
        <v>1</v>
      </c>
      <c r="E50" s="14" t="str">
        <f>Sheet1!E269</f>
        <v>Ulya</v>
      </c>
      <c r="F50" s="16">
        <f>Sheet1!F269</f>
        <v>2410</v>
      </c>
      <c r="G50" s="16" t="str">
        <f>Sheet1!G269</f>
        <v>Ahmad Gunawan</v>
      </c>
      <c r="H50" s="15" t="str">
        <f>Sheet1!H269</f>
        <v>Jember</v>
      </c>
      <c r="I50" s="17" t="str">
        <f>Sheet1!I269</f>
        <v>27 Juli 2007</v>
      </c>
      <c r="J50" s="14" t="str">
        <f>Sheet1!J269</f>
        <v>D 08</v>
      </c>
      <c r="K50" s="16" t="str">
        <f>Sheet1!K269</f>
        <v>Karang Paiton</v>
      </c>
      <c r="L50" s="16" t="str">
        <f>Sheet1!L269</f>
        <v>Anwar</v>
      </c>
      <c r="M50" s="16" t="str">
        <f>Sheet1!M269</f>
        <v>Tutik</v>
      </c>
      <c r="N50" s="16" t="str">
        <f ca="1">Sheet1!N269</f>
        <v>17 Tahun, 4 Bulan, 24 Hari</v>
      </c>
      <c r="O50" s="16"/>
      <c r="P50" s="16"/>
    </row>
    <row r="51" spans="1:16" ht="18" hidden="1" customHeight="1" x14ac:dyDescent="0.25">
      <c r="A51" s="12">
        <v>53</v>
      </c>
      <c r="B51" s="14">
        <v>7</v>
      </c>
      <c r="C51" s="16">
        <f>Sheet1!C270</f>
        <v>0</v>
      </c>
      <c r="D51" s="14">
        <f>Sheet1!D270</f>
        <v>1</v>
      </c>
      <c r="E51" s="14" t="str">
        <f>Sheet1!E270</f>
        <v>Ulya</v>
      </c>
      <c r="F51" s="16">
        <f>Sheet1!F270</f>
        <v>2428</v>
      </c>
      <c r="G51" s="16" t="str">
        <f>Sheet1!G270</f>
        <v>Salman Al Farisi</v>
      </c>
      <c r="H51" s="15" t="str">
        <f>Sheet1!H270</f>
        <v>Jember</v>
      </c>
      <c r="I51" s="17" t="str">
        <f>Sheet1!I270</f>
        <v>06 Nov 2006</v>
      </c>
      <c r="J51" s="14" t="str">
        <f>Sheet1!J270</f>
        <v>D 08</v>
      </c>
      <c r="K51" s="16" t="str">
        <f>Sheet1!K270</f>
        <v>Sukosari-sukowono-jember</v>
      </c>
      <c r="L51" s="16" t="str">
        <f>Sheet1!L270</f>
        <v>Tayyib</v>
      </c>
      <c r="M51" s="16">
        <f>Sheet1!M270</f>
        <v>0</v>
      </c>
      <c r="N51" s="16" t="str">
        <f ca="1">Sheet1!N270</f>
        <v>18 Tahun, 1 Bulan, 15 Hari</v>
      </c>
      <c r="O51" s="16"/>
      <c r="P51" s="16"/>
    </row>
    <row r="52" spans="1:16" ht="18" hidden="1" customHeight="1" x14ac:dyDescent="0.25">
      <c r="A52" s="12">
        <v>54</v>
      </c>
      <c r="B52" s="14">
        <v>8</v>
      </c>
      <c r="C52" s="16">
        <f>Sheet1!C271</f>
        <v>0</v>
      </c>
      <c r="D52" s="14" t="str">
        <f>Sheet1!D271</f>
        <v>2D</v>
      </c>
      <c r="E52" s="14" t="str">
        <f>Sheet1!E271</f>
        <v>Wustha</v>
      </c>
      <c r="F52" s="16">
        <f>Sheet1!F271</f>
        <v>3301</v>
      </c>
      <c r="G52" s="16" t="str">
        <f>Sheet1!G271</f>
        <v>Moch. Feri</v>
      </c>
      <c r="H52" s="15" t="str">
        <f>Sheet1!H271</f>
        <v>Jember</v>
      </c>
      <c r="I52" s="17">
        <f>Sheet1!I271</f>
        <v>39255</v>
      </c>
      <c r="J52" s="14" t="str">
        <f>Sheet1!J271</f>
        <v>D 08</v>
      </c>
      <c r="K52" s="16" t="str">
        <f>Sheet1!K271</f>
        <v>Dusun Patemon 017/005 Randu Agung Sumberjambe Jember</v>
      </c>
      <c r="L52" s="16" t="str">
        <f>Sheet1!L271</f>
        <v>Aziz</v>
      </c>
      <c r="M52" s="16" t="str">
        <f>Sheet1!M271</f>
        <v>Mardiyah</v>
      </c>
      <c r="N52" s="16" t="str">
        <f ca="1">Sheet1!N271</f>
        <v>17 Tahun, 5 Bulan, 29 Hari</v>
      </c>
      <c r="O52" s="16"/>
      <c r="P52" s="16"/>
    </row>
    <row r="53" spans="1:16" ht="18" hidden="1" customHeight="1" x14ac:dyDescent="0.25">
      <c r="A53" s="12">
        <v>55</v>
      </c>
      <c r="B53" s="14">
        <v>9</v>
      </c>
      <c r="C53" s="16" t="str">
        <f>Sheet1!C272</f>
        <v>-</v>
      </c>
      <c r="D53" s="14" t="str">
        <f>Sheet1!D272</f>
        <v>3C</v>
      </c>
      <c r="E53" s="14" t="str">
        <f>Sheet1!E272</f>
        <v>Wustha</v>
      </c>
      <c r="F53" s="16">
        <f>Sheet1!F272</f>
        <v>2755</v>
      </c>
      <c r="G53" s="16" t="str">
        <f>Sheet1!G272</f>
        <v>M. Farhan Maulana</v>
      </c>
      <c r="H53" s="15" t="str">
        <f>Sheet1!H272</f>
        <v>Jember</v>
      </c>
      <c r="I53" s="17">
        <f>Sheet1!I272</f>
        <v>38452</v>
      </c>
      <c r="J53" s="14" t="str">
        <f>Sheet1!J272</f>
        <v>D 08</v>
      </c>
      <c r="K53" s="16" t="str">
        <f>Sheet1!K272</f>
        <v>Randuagung-Sumberjambe-jember</v>
      </c>
      <c r="L53" s="16" t="str">
        <f>Sheet1!L272</f>
        <v>Nur Halim</v>
      </c>
      <c r="M53" s="16" t="str">
        <f>Sheet1!M272</f>
        <v>Juma'ati</v>
      </c>
      <c r="N53" s="16" t="str">
        <f ca="1">Sheet1!N272</f>
        <v>19 Tahun, 8 Bulan, 11 Hari</v>
      </c>
      <c r="O53" s="16"/>
      <c r="P53" s="16"/>
    </row>
    <row r="54" spans="1:16" ht="18" hidden="1" customHeight="1" x14ac:dyDescent="0.25">
      <c r="A54" s="12">
        <v>57</v>
      </c>
      <c r="B54" s="14">
        <v>11</v>
      </c>
      <c r="C54" s="16" t="str">
        <f>Sheet1!C279</f>
        <v>2 SMA</v>
      </c>
      <c r="D54" s="14" t="str">
        <f>Sheet1!D279</f>
        <v>2B</v>
      </c>
      <c r="E54" s="14" t="str">
        <f>Sheet1!E279</f>
        <v>Wustha</v>
      </c>
      <c r="F54" s="16">
        <f>Sheet1!F279</f>
        <v>2845</v>
      </c>
      <c r="G54" s="16" t="str">
        <f>Sheet1!G279</f>
        <v>M. Bagus Setiawan</v>
      </c>
      <c r="H54" s="15" t="str">
        <f>Sheet1!H279</f>
        <v>Bondowoso</v>
      </c>
      <c r="I54" s="17">
        <f>Sheet1!I279</f>
        <v>39247</v>
      </c>
      <c r="J54" s="14" t="str">
        <f>Sheet1!J279</f>
        <v>D 10</v>
      </c>
      <c r="K54" s="16" t="str">
        <f>Sheet1!K279</f>
        <v>Sukorejo Pakisan-Tlogosari-Bondowoso</v>
      </c>
      <c r="L54" s="16" t="str">
        <f>Sheet1!L279</f>
        <v>Ach. Sirojuddin</v>
      </c>
      <c r="M54" s="16" t="str">
        <f>Sheet1!M279</f>
        <v>Siti Nurholisah</v>
      </c>
      <c r="N54" s="16" t="str">
        <f ca="1">Sheet1!N279</f>
        <v>17 Tahun, 6 Bulan, 7 Hari</v>
      </c>
      <c r="O54" s="16"/>
      <c r="P54" s="16"/>
    </row>
    <row r="55" spans="1:16" ht="18" hidden="1" customHeight="1" x14ac:dyDescent="0.25">
      <c r="A55" s="12">
        <v>58</v>
      </c>
      <c r="B55" s="14">
        <v>12</v>
      </c>
      <c r="C55" s="16">
        <f>Sheet1!C285</f>
        <v>0</v>
      </c>
      <c r="D55" s="14" t="str">
        <f>Sheet1!D285</f>
        <v>2B</v>
      </c>
      <c r="E55" s="14" t="str">
        <f>Sheet1!E285</f>
        <v>Ulya</v>
      </c>
      <c r="F55" s="16">
        <f>Sheet1!F285</f>
        <v>1611</v>
      </c>
      <c r="G55" s="16" t="str">
        <f>Sheet1!G285</f>
        <v>Salman Alfarezi</v>
      </c>
      <c r="H55" s="15" t="str">
        <f>Sheet1!H285</f>
        <v>Jember</v>
      </c>
      <c r="I55" s="17" t="str">
        <f>Sheet1!I285</f>
        <v>26 november 2004</v>
      </c>
      <c r="J55" s="14" t="str">
        <f>Sheet1!J285</f>
        <v>D 12</v>
      </c>
      <c r="K55" s="16" t="str">
        <f>Sheet1!K285</f>
        <v>Dusun Patemon, 001/017, Sumber Tengah, Kec. Sukosari, Kab. Jember</v>
      </c>
      <c r="L55" s="16" t="str">
        <f>Sheet1!L285</f>
        <v>Arjoso Alm</v>
      </c>
      <c r="M55" s="16" t="str">
        <f>Sheet1!M285</f>
        <v>Sunarsih</v>
      </c>
      <c r="N55" s="16" t="str">
        <f ca="1">Sheet1!N285</f>
        <v>20 Tahun, 0 Bulan, 25 Hari</v>
      </c>
      <c r="O55" s="16"/>
      <c r="P55" s="16"/>
    </row>
    <row r="56" spans="1:16" ht="18" customHeight="1" x14ac:dyDescent="0.25">
      <c r="A56" s="12">
        <v>61</v>
      </c>
      <c r="B56" s="14">
        <v>5</v>
      </c>
      <c r="C56" s="16" t="str">
        <f>Sheet1!C345</f>
        <v>3 MTS</v>
      </c>
      <c r="D56" s="14" t="str">
        <f>Sheet1!D345</f>
        <v>3D</v>
      </c>
      <c r="E56" s="14" t="str">
        <f>Sheet1!E345</f>
        <v>Wustha</v>
      </c>
      <c r="F56" s="16">
        <f>Sheet1!F345</f>
        <v>2840</v>
      </c>
      <c r="G56" s="16" t="str">
        <f>Sheet1!G345</f>
        <v>Muhammad Zuhri</v>
      </c>
      <c r="H56" s="15" t="str">
        <f>Sheet1!H345</f>
        <v>Bondowoso</v>
      </c>
      <c r="I56" s="17">
        <f>Sheet1!I345</f>
        <v>39166</v>
      </c>
      <c r="J56" s="14" t="str">
        <f>Sheet1!J345</f>
        <v>M</v>
      </c>
      <c r="K56" s="16" t="str">
        <f>Sheet1!K345</f>
        <v>Wonosari grujugan Bondowoso</v>
      </c>
      <c r="L56" s="16" t="str">
        <f>Sheet1!L345</f>
        <v>Saiful</v>
      </c>
      <c r="M56" s="16" t="str">
        <f>Sheet1!M345</f>
        <v>Rodiyah</v>
      </c>
      <c r="N56" s="16" t="str">
        <f ca="1">Sheet1!N345</f>
        <v>17 Tahun, 8 Bulan, 26 Hari</v>
      </c>
      <c r="O56" s="16"/>
      <c r="P56" s="16"/>
    </row>
    <row r="57" spans="1:16" ht="18" customHeight="1" x14ac:dyDescent="0.25">
      <c r="A57" s="12">
        <v>62</v>
      </c>
      <c r="B57" s="14">
        <v>6</v>
      </c>
      <c r="C57" s="16" t="str">
        <f>Sheet1!C346</f>
        <v>2 SMA</v>
      </c>
      <c r="D57" s="14" t="str">
        <f>Sheet1!D346</f>
        <v>2A</v>
      </c>
      <c r="E57" s="14" t="str">
        <f>Sheet1!E346</f>
        <v>Wustha</v>
      </c>
      <c r="F57" s="16">
        <f>Sheet1!F346</f>
        <v>2754</v>
      </c>
      <c r="G57" s="16" t="str">
        <f>Sheet1!G346</f>
        <v>Muhammad Andika Apriyansyah</v>
      </c>
      <c r="H57" s="15" t="str">
        <f>Sheet1!H346</f>
        <v>Bondowoso</v>
      </c>
      <c r="I57" s="17">
        <f>Sheet1!I346</f>
        <v>39186</v>
      </c>
      <c r="J57" s="14" t="str">
        <f>Sheet1!J346</f>
        <v>M</v>
      </c>
      <c r="K57" s="16" t="str">
        <f>Sheet1!K346</f>
        <v>Pucang Anom-Jambesari Darus Sholah-Bondowoso</v>
      </c>
      <c r="L57" s="16" t="str">
        <f>Sheet1!L346</f>
        <v>Heryadi</v>
      </c>
      <c r="M57" s="16">
        <f>Sheet1!M346</f>
        <v>0</v>
      </c>
      <c r="N57" s="16" t="str">
        <f ca="1">Sheet1!N346</f>
        <v>17 Tahun, 8 Bulan, 7 Hari</v>
      </c>
      <c r="O57" s="16"/>
      <c r="P57" s="16"/>
    </row>
    <row r="58" spans="1:16" ht="18" hidden="1" customHeight="1" x14ac:dyDescent="0.25">
      <c r="A58" s="12">
        <v>10</v>
      </c>
      <c r="B58" s="14">
        <v>10</v>
      </c>
      <c r="C58" s="16" t="str">
        <f>Sheet1!C30</f>
        <v>2 SMA</v>
      </c>
      <c r="D58" s="14" t="str">
        <f>Sheet1!D30</f>
        <v>1C</v>
      </c>
      <c r="E58" s="14" t="str">
        <f>Sheet1!E30</f>
        <v>Wustha</v>
      </c>
      <c r="F58" s="16">
        <f>Sheet1!F30</f>
        <v>3693</v>
      </c>
      <c r="G58" s="16" t="str">
        <f>Sheet1!G30</f>
        <v>Harisul Umam</v>
      </c>
      <c r="H58" s="15" t="str">
        <f>Sheet1!H30</f>
        <v>Jember</v>
      </c>
      <c r="I58" s="17" t="str">
        <f>Sheet1!I30</f>
        <v>09 Juli 2007</v>
      </c>
      <c r="J58" s="14" t="str">
        <f>Sheet1!J30</f>
        <v>A 07</v>
      </c>
      <c r="K58" s="16" t="str">
        <f>Sheet1!K30</f>
        <v>dusun sumber nangka 008/005-suko gidri ledokombo-jember</v>
      </c>
      <c r="L58" s="16" t="str">
        <f>Sheet1!L30</f>
        <v>Ahmad</v>
      </c>
      <c r="M58" s="16" t="str">
        <f>Sheet1!M30</f>
        <v xml:space="preserve">Wasiah </v>
      </c>
      <c r="N58" s="16" t="str">
        <f ca="1">Sheet1!N30</f>
        <v>17 Tahun, 5 Bulan, 12 Hari</v>
      </c>
      <c r="O58" s="16"/>
      <c r="P58" s="16"/>
    </row>
    <row r="59" spans="1:16" ht="18" hidden="1" customHeight="1" x14ac:dyDescent="0.25">
      <c r="A59" s="12">
        <v>11</v>
      </c>
      <c r="B59" s="14">
        <v>11</v>
      </c>
      <c r="C59" s="16" t="str">
        <f>Sheet1!C31</f>
        <v>LLS</v>
      </c>
      <c r="D59" s="14" t="str">
        <f>Sheet1!D31</f>
        <v>2C</v>
      </c>
      <c r="E59" s="14" t="str">
        <f>Sheet1!E31</f>
        <v>Wustha</v>
      </c>
      <c r="F59" s="16">
        <f>Sheet1!F31</f>
        <v>3339</v>
      </c>
      <c r="G59" s="16" t="str">
        <f>Sheet1!G31</f>
        <v>Sahril Kurniawan</v>
      </c>
      <c r="H59" s="15" t="str">
        <f>Sheet1!H31</f>
        <v>Jember</v>
      </c>
      <c r="I59" s="17">
        <f>Sheet1!I31</f>
        <v>38732</v>
      </c>
      <c r="J59" s="14" t="str">
        <f>Sheet1!J31</f>
        <v>A 07</v>
      </c>
      <c r="K59" s="16" t="str">
        <f>Sheet1!K31</f>
        <v>Dusun Sumber Nangka 008/003 Sukogidri Ledokombo Jember</v>
      </c>
      <c r="L59" s="16" t="str">
        <f>Sheet1!L31</f>
        <v>Hamdan</v>
      </c>
      <c r="M59" s="16" t="str">
        <f>Sheet1!M31</f>
        <v>Subaidah</v>
      </c>
      <c r="N59" s="16" t="str">
        <f ca="1">Sheet1!N31</f>
        <v>18 Tahun, 11 Bulan, 6 Hari</v>
      </c>
      <c r="O59" s="16"/>
      <c r="P59" s="16"/>
    </row>
    <row r="60" spans="1:16" ht="18" hidden="1" customHeight="1" x14ac:dyDescent="0.25">
      <c r="A60" s="12">
        <v>19</v>
      </c>
      <c r="B60" s="14">
        <v>19</v>
      </c>
      <c r="C60" s="16">
        <f>Sheet1!C54</f>
        <v>0</v>
      </c>
      <c r="D60" s="14" t="str">
        <f>Sheet1!D54</f>
        <v>1B</v>
      </c>
      <c r="E60" s="14" t="str">
        <f>Sheet1!E54</f>
        <v>Wustha</v>
      </c>
      <c r="F60" s="16">
        <f>Sheet1!F54</f>
        <v>3665</v>
      </c>
      <c r="G60" s="16" t="str">
        <f>Sheet1!G54</f>
        <v>Muhammad Indra Frayoga</v>
      </c>
      <c r="H60" s="15" t="str">
        <f>Sheet1!H54</f>
        <v>Jember</v>
      </c>
      <c r="I60" s="17" t="str">
        <f>Sheet1!I54</f>
        <v>15 mei 2006</v>
      </c>
      <c r="J60" s="14" t="str">
        <f>Sheet1!J54</f>
        <v>A 10</v>
      </c>
      <c r="K60" s="16" t="str">
        <f>Sheet1!K54</f>
        <v>Dusun Bates 003/10 Pringgondani-Sumber Jambe-Jember</v>
      </c>
      <c r="L60" s="16" t="str">
        <f>Sheet1!L54</f>
        <v>Seruji</v>
      </c>
      <c r="M60" s="16" t="str">
        <f>Sheet1!M54</f>
        <v>Siseh</v>
      </c>
      <c r="N60" s="16" t="str">
        <f ca="1">Sheet1!N54</f>
        <v>18 Tahun, 7 Bulan, 6 Hari</v>
      </c>
      <c r="O60" s="16"/>
      <c r="P60" s="16"/>
    </row>
    <row r="61" spans="1:16" ht="18" hidden="1" customHeight="1" x14ac:dyDescent="0.25">
      <c r="A61" s="12">
        <v>32</v>
      </c>
      <c r="B61" s="14">
        <v>6</v>
      </c>
      <c r="C61" s="16">
        <f>Sheet1!C134</f>
        <v>0</v>
      </c>
      <c r="D61" s="14">
        <f>Sheet1!D134</f>
        <v>1</v>
      </c>
      <c r="E61" s="14" t="str">
        <f>Sheet1!E134</f>
        <v>Ulya</v>
      </c>
      <c r="F61" s="16">
        <f>Sheet1!F134</f>
        <v>2411</v>
      </c>
      <c r="G61" s="16" t="str">
        <f>Sheet1!G134</f>
        <v>Ahmad Hakiki</v>
      </c>
      <c r="H61" s="15" t="str">
        <f>Sheet1!H134</f>
        <v>Bondowoso</v>
      </c>
      <c r="I61" s="17" t="str">
        <f>Sheet1!I134</f>
        <v>10 Januari 2004</v>
      </c>
      <c r="J61" s="14" t="str">
        <f>Sheet1!J134</f>
        <v>B 07</v>
      </c>
      <c r="K61" s="16" t="str">
        <f>Sheet1!K134</f>
        <v>mangli-pujer-bondowoso</v>
      </c>
      <c r="L61" s="16" t="str">
        <f>Sheet1!L134</f>
        <v>Mastuki</v>
      </c>
      <c r="M61" s="16" t="str">
        <f>Sheet1!M134</f>
        <v>Wiwik Hijriyah</v>
      </c>
      <c r="N61" s="16" t="str">
        <f ca="1">Sheet1!N134</f>
        <v>20 Tahun, 11 Bulan, 11 Hari</v>
      </c>
      <c r="O61" s="16"/>
      <c r="P61" s="16"/>
    </row>
    <row r="62" spans="1:16" ht="18" hidden="1" customHeight="1" x14ac:dyDescent="0.25">
      <c r="A62" s="12">
        <v>33</v>
      </c>
      <c r="B62" s="14">
        <v>7</v>
      </c>
      <c r="C62" s="16">
        <f>Sheet1!C135</f>
        <v>0</v>
      </c>
      <c r="D62" s="14" t="str">
        <f>Sheet1!D135</f>
        <v>1A</v>
      </c>
      <c r="E62" s="14" t="str">
        <f>Sheet1!E135</f>
        <v>Wustha</v>
      </c>
      <c r="F62" s="16">
        <f>Sheet1!F135</f>
        <v>3625</v>
      </c>
      <c r="G62" s="16" t="str">
        <f>Sheet1!G135</f>
        <v>M. Hakiki Farel</v>
      </c>
      <c r="H62" s="15" t="str">
        <f>Sheet1!H135</f>
        <v>Jember</v>
      </c>
      <c r="I62" s="17">
        <f>Sheet1!I135</f>
        <v>39343</v>
      </c>
      <c r="J62" s="14" t="str">
        <f>Sheet1!J135</f>
        <v>B 07</v>
      </c>
      <c r="K62" s="16" t="str">
        <f>Sheet1!K135</f>
        <v>Dusun Plalangan 001/014 Pringgondani Sumberjambe Jember Jawa Timur</v>
      </c>
      <c r="L62" s="16" t="str">
        <f>Sheet1!L135</f>
        <v xml:space="preserve">Abdul Wafi </v>
      </c>
      <c r="M62" s="16" t="str">
        <f>Sheet1!M135</f>
        <v xml:space="preserve">Hayani </v>
      </c>
      <c r="N62" s="16" t="str">
        <f ca="1">Sheet1!N135</f>
        <v>17 Tahun, 3 Bulan, 3 Hari</v>
      </c>
      <c r="O62" s="16"/>
      <c r="P62" s="16"/>
    </row>
    <row r="63" spans="1:16" ht="18" hidden="1" customHeight="1" x14ac:dyDescent="0.25">
      <c r="A63" s="12">
        <v>56</v>
      </c>
      <c r="B63" s="14">
        <v>10</v>
      </c>
      <c r="C63" s="16" t="str">
        <f>Sheet1!C274</f>
        <v>2 SMA</v>
      </c>
      <c r="D63" s="14" t="str">
        <f>Sheet1!D274</f>
        <v>1C</v>
      </c>
      <c r="E63" s="14" t="str">
        <f>Sheet1!E274</f>
        <v>Wustha</v>
      </c>
      <c r="F63" s="16">
        <f>Sheet1!F274</f>
        <v>3694</v>
      </c>
      <c r="G63" s="16" t="str">
        <f>Sheet1!G274</f>
        <v>Adil Suharyadi</v>
      </c>
      <c r="H63" s="15" t="str">
        <f>Sheet1!H274</f>
        <v>Jember</v>
      </c>
      <c r="I63" s="17" t="str">
        <f>Sheet1!I274</f>
        <v>10 OKTOBER 2007</v>
      </c>
      <c r="J63" s="14" t="str">
        <f>Sheet1!J274</f>
        <v>D 09</v>
      </c>
      <c r="K63" s="16" t="str">
        <f>Sheet1!K274</f>
        <v>DUSUN PASAR LODOKOMBO 01/13 LEDOKOMBO JEMBER</v>
      </c>
      <c r="L63" s="16" t="str">
        <f>Sheet1!L274</f>
        <v>Kurniawan</v>
      </c>
      <c r="M63" s="16" t="str">
        <f>Sheet1!M274</f>
        <v>Hozaimah</v>
      </c>
      <c r="N63" s="16" t="str">
        <f ca="1">Sheet1!N274</f>
        <v>17 Tahun, 2 Bulan, 11 Hari</v>
      </c>
      <c r="O63" s="16"/>
      <c r="P63" s="16"/>
    </row>
    <row r="64" spans="1:16" ht="18" hidden="1" customHeight="1" x14ac:dyDescent="0.25">
      <c r="A64" s="12">
        <v>45</v>
      </c>
      <c r="B64" s="14">
        <v>19</v>
      </c>
      <c r="C64" s="16" t="str">
        <f>Sheet1!C227</f>
        <v>3 SMA</v>
      </c>
      <c r="D64" s="14" t="str">
        <f>Sheet1!D227</f>
        <v>3D</v>
      </c>
      <c r="E64" s="14" t="str">
        <f>Sheet1!E227</f>
        <v>Wustha</v>
      </c>
      <c r="F64" s="16">
        <f>Sheet1!F227</f>
        <v>2795</v>
      </c>
      <c r="G64" s="16" t="str">
        <f>Sheet1!G227</f>
        <v>Khozen Ainur Rifdi</v>
      </c>
      <c r="H64" s="15" t="str">
        <f>Sheet1!H227</f>
        <v>Situbondo</v>
      </c>
      <c r="I64" s="17">
        <f>Sheet1!I227</f>
        <v>38524</v>
      </c>
      <c r="J64" s="14" t="str">
        <f>Sheet1!J227</f>
        <v>C 11</v>
      </c>
      <c r="K64" s="16" t="str">
        <f>Sheet1!K227</f>
        <v>Sumberkolak-Panarukan-Situbondo</v>
      </c>
      <c r="L64" s="16" t="str">
        <f>Sheet1!L227</f>
        <v>Subairi</v>
      </c>
      <c r="M64" s="16" t="str">
        <f>Sheet1!M227</f>
        <v>Musrifa</v>
      </c>
      <c r="N64" s="16" t="str">
        <f ca="1">Sheet1!N227</f>
        <v>19 Tahun, 6 Bulan, 0 Hari</v>
      </c>
      <c r="O64" s="16"/>
      <c r="P64" s="16"/>
    </row>
    <row r="65" spans="1:16" ht="18" hidden="1" customHeight="1" x14ac:dyDescent="0.25">
      <c r="A65" s="12">
        <v>48</v>
      </c>
      <c r="B65" s="14">
        <v>22</v>
      </c>
      <c r="C65" s="16">
        <f>Sheet1!C239</f>
        <v>0</v>
      </c>
      <c r="D65" s="14" t="str">
        <f>Sheet1!D239</f>
        <v>1A</v>
      </c>
      <c r="E65" s="14" t="str">
        <f>Sheet1!E239</f>
        <v>Wustha</v>
      </c>
      <c r="F65" s="16">
        <f>Sheet1!F239</f>
        <v>2803</v>
      </c>
      <c r="G65" s="16" t="str">
        <f>Sheet1!G239</f>
        <v>Mufti Hakim</v>
      </c>
      <c r="H65" s="15" t="str">
        <f>Sheet1!H239</f>
        <v>Sumenep</v>
      </c>
      <c r="I65" s="17">
        <f>Sheet1!I239</f>
        <v>38955</v>
      </c>
      <c r="J65" s="14" t="str">
        <f>Sheet1!J239</f>
        <v>C 15</v>
      </c>
      <c r="K65" s="16" t="str">
        <f>Sheet1!K239</f>
        <v>Maskuning Wetan Pujer Bondowoso</v>
      </c>
      <c r="L65" s="16" t="str">
        <f>Sheet1!L239</f>
        <v>Tarmo</v>
      </c>
      <c r="M65" s="16" t="str">
        <f>Sheet1!M239</f>
        <v>Zeinah</v>
      </c>
      <c r="N65" s="16" t="str">
        <f ca="1">Sheet1!N239</f>
        <v>18 Tahun, 3 Bulan, 25 Hari</v>
      </c>
      <c r="O65" s="16"/>
      <c r="P65" s="16"/>
    </row>
  </sheetData>
  <autoFilter ref="A3:N65" xr:uid="{BD46FD0D-8098-4C99-A118-B93250B35E56}">
    <filterColumn colId="9">
      <filters>
        <filter val="0"/>
        <filter val="E 07"/>
        <filter val="M"/>
      </filters>
    </filterColumn>
    <sortState xmlns:xlrd2="http://schemas.microsoft.com/office/spreadsheetml/2017/richdata2" ref="A4:N65">
      <sortCondition ref="H3:H65"/>
    </sortState>
  </autoFilter>
  <mergeCells count="1">
    <mergeCell ref="B1:P1"/>
  </mergeCells>
  <printOptions horizontalCentered="1"/>
  <pageMargins left="0" right="0" top="0.39370078740157483" bottom="0" header="0.31496062992125984" footer="0"/>
  <pageSetup paperSize="10000" scale="75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Banin</vt:lpstr>
      <vt:lpstr>Sheet3</vt:lpstr>
      <vt:lpstr>Banat</vt:lpstr>
      <vt:lpstr>Bondowoso</vt:lpstr>
      <vt:lpstr>Jember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 ULA 02</dc:creator>
  <cp:lastModifiedBy>Al-Utsmani</cp:lastModifiedBy>
  <cp:lastPrinted>2024-11-26T23:08:15Z</cp:lastPrinted>
  <dcterms:created xsi:type="dcterms:W3CDTF">2024-11-23T15:52:27Z</dcterms:created>
  <dcterms:modified xsi:type="dcterms:W3CDTF">2024-12-21T13:12:48Z</dcterms:modified>
</cp:coreProperties>
</file>